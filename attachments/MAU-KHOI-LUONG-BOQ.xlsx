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872" tabRatio="600" firstSheet="1" activeTab="2" autoFilterDateGrouping="1"/>
  </bookViews>
  <sheets>
    <sheet name="00_HUONG_DAN_SU_DUNG" sheetId="1" state="visible" r:id="rId1"/>
    <sheet name="00_DASHBOARD_KIEM_SOAT" sheetId="2" state="visible" r:id="rId2"/>
    <sheet name="02_MAU_BOQ_TRONG" sheetId="3" state="visible" r:id="rId3"/>
    <sheet name="In phiếu xuất" sheetId="4" state="hidden" r:id="rId4"/>
    <sheet name="Data-BOQ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(* #,##0.0_);_(* \(#,##0.0\);_(* &quot;-&quot;??_);_(@_)"/>
    <numFmt numFmtId="165" formatCode="_(* #,##0_);_(* \(#,##0\);_(* &quot;-&quot;??_);_(@_)"/>
    <numFmt numFmtId="166" formatCode="d\.m"/>
    <numFmt numFmtId="167" formatCode="d\.m\.yyyy"/>
    <numFmt numFmtId="168" formatCode="d\.m\.yy"/>
    <numFmt numFmtId="169" formatCode="_-[$€]* #,##0.00_-;\-[$€]* #,##0.00_-;_-[$€]* &quot;-&quot;??_-;_-@"/>
    <numFmt numFmtId="170" formatCode="0.0%"/>
    <numFmt numFmtId="171" formatCode="#,##0.0"/>
  </numFmts>
  <fonts count="41">
    <font>
      <name val="Arial"/>
      <color rgb="FF000000"/>
      <sz val="10"/>
      <scheme val="minor"/>
    </font>
    <font>
      <name val="Arial"/>
      <b val="1"/>
      <color theme="1"/>
      <sz val="14"/>
    </font>
    <font>
      <name val="Arial"/>
      <color theme="1"/>
      <sz val="10"/>
      <scheme val="minor"/>
    </font>
    <font>
      <name val="Arial"/>
      <color theme="1"/>
      <sz val="13"/>
      <scheme val="minor"/>
    </font>
    <font>
      <name val="Arial"/>
      <color theme="1"/>
      <sz val="10"/>
    </font>
    <font>
      <name val="Arial"/>
      <b val="1"/>
      <color theme="1"/>
      <sz val="34"/>
      <scheme val="minor"/>
    </font>
    <font>
      <name val="Arial"/>
      <b val="1"/>
      <color theme="1"/>
      <sz val="15"/>
    </font>
    <font>
      <name val="Arial"/>
      <b val="1"/>
      <color rgb="FF000000"/>
      <sz val="16"/>
      <scheme val="minor"/>
    </font>
    <font>
      <name val="Arial"/>
      <b val="1"/>
      <color rgb="FFFF0000"/>
      <sz val="14"/>
    </font>
    <font>
      <name val="Calibri"/>
      <b val="1"/>
      <color theme="1"/>
      <sz val="12"/>
    </font>
    <font>
      <name val="Arial"/>
      <b val="1"/>
      <color theme="1"/>
      <sz val="11"/>
    </font>
    <font>
      <name val="Arial"/>
      <b val="1"/>
      <color rgb="FF006100"/>
      <sz val="11"/>
    </font>
    <font>
      <name val="Arial"/>
      <color theme="1"/>
      <sz val="11"/>
    </font>
    <font>
      <name val="Arial"/>
      <color rgb="FF0000FF"/>
      <sz val="11"/>
    </font>
    <font>
      <name val="Arial"/>
      <color rgb="FF006100"/>
      <sz val="11"/>
    </font>
    <font>
      <name val="Arial"/>
      <color rgb="FF9C0006"/>
      <sz val="11"/>
    </font>
    <font>
      <name val="Arial"/>
      <color rgb="FF000000"/>
      <sz val="11"/>
    </font>
    <font>
      <name val="Calibri"/>
      <b val="1"/>
      <color rgb="FFFF0000"/>
      <sz val="12"/>
    </font>
    <font>
      <name val="Arial"/>
      <color rgb="FFFF0000"/>
      <sz val="11"/>
    </font>
    <font>
      <name val="Arial"/>
      <b val="1"/>
      <color rgb="00000000"/>
      <sz val="11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1F4E78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00"/>
      <sz val="10"/>
    </font>
    <font>
      <name val="Arial"/>
      <color rgb="00385723"/>
      <sz val="10"/>
    </font>
    <font>
      <name val="Arial"/>
      <color rgb="00C00000"/>
      <sz val="10"/>
    </font>
    <font>
      <name val="Arial"/>
      <b val="1"/>
      <color rgb="001F4E78"/>
      <sz val="9.5"/>
    </font>
    <font>
      <name val="Arial"/>
      <sz val="9.5"/>
    </font>
    <font>
      <name val="Arial"/>
      <b val="1"/>
      <color rgb="00C00000"/>
      <sz val="11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  <font>
      <name val="Arial"/>
      <b val="1"/>
      <color rgb="009C0006"/>
      <sz val="9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b val="1"/>
      <sz val="11"/>
    </font>
    <font>
      <name val="Arial"/>
      <b val="1"/>
      <i val="1"/>
      <color rgb="001F4E78"/>
      <sz val="10"/>
    </font>
    <font>
      <name val="Calibri"/>
      <b val="1"/>
      <sz val="11"/>
    </font>
  </fonts>
  <fills count="27">
    <fill>
      <patternFill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BDD6EE"/>
        <bgColor rgb="FFBDD6EE"/>
      </patternFill>
    </fill>
    <fill>
      <patternFill patternType="solid">
        <fgColor rgb="FF00B0F0"/>
        <bgColor rgb="FF00B0F0"/>
      </patternFill>
    </fill>
    <fill>
      <patternFill patternType="solid">
        <fgColor rgb="FFC6EFCE"/>
        <bgColor rgb="FFC6EFCE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FFF00"/>
        <bgColor rgb="00FFFF00"/>
      </patternFill>
    </fill>
    <fill>
      <patternFill patternType="solid">
        <fgColor rgb="00D9E1F2"/>
        <bgColor rgb="00D9E1F2"/>
      </patternFill>
    </fill>
    <fill>
      <patternFill patternType="solid">
        <fgColor rgb="0000B0F0"/>
        <bgColor rgb="0000B0F0"/>
      </patternFill>
    </fill>
    <fill>
      <patternFill patternType="solid">
        <fgColor rgb="00C6EFCE"/>
        <bgColor rgb="00C6EFCE"/>
      </patternFill>
    </fill>
    <fill>
      <patternFill patternType="solid">
        <fgColor rgb="00B4C6E7"/>
        <bgColor rgb="00B4C6E7"/>
      </patternFill>
    </fill>
    <fill>
      <patternFill patternType="solid">
        <fgColor rgb="00FFE699"/>
        <bgColor rgb="00FFE69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6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pivotButton="0" quotePrefix="0" xfId="0"/>
    <xf numFmtId="14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43" fontId="4" fillId="0" borderId="0" pivotButton="0" quotePrefix="0" xfId="0"/>
    <xf numFmtId="0" fontId="1" fillId="0" borderId="0" pivotButton="0" quotePrefix="0" xfId="0"/>
    <xf numFmtId="3" fontId="4" fillId="0" borderId="0" applyAlignment="1" pivotButton="0" quotePrefix="0" xfId="0">
      <alignment horizontal="right"/>
    </xf>
    <xf numFmtId="164" fontId="4" fillId="0" borderId="0" pivotButton="0" quotePrefix="0" xfId="0"/>
    <xf numFmtId="0" fontId="8" fillId="0" borderId="0" pivotButton="0" quotePrefix="0" xfId="0"/>
    <xf numFmtId="0" fontId="4" fillId="0" borderId="7" pivotButton="0" quotePrefix="0" xfId="0"/>
    <xf numFmtId="3" fontId="4" fillId="0" borderId="2" applyAlignment="1" pivotButton="0" quotePrefix="0" xfId="0">
      <alignment horizontal="right"/>
    </xf>
    <xf numFmtId="164" fontId="4" fillId="0" borderId="2" pivotButton="0" quotePrefix="0" xfId="0"/>
    <xf numFmtId="43" fontId="9" fillId="0" borderId="0" pivotButton="0" quotePrefix="0" xfId="0"/>
    <xf numFmtId="0" fontId="10" fillId="9" borderId="7" applyAlignment="1" pivotButton="0" quotePrefix="0" xfId="0">
      <alignment horizontal="center"/>
    </xf>
    <xf numFmtId="0" fontId="4" fillId="9" borderId="7" pivotButton="0" quotePrefix="0" xfId="0"/>
    <xf numFmtId="3" fontId="4" fillId="9" borderId="2" applyAlignment="1" pivotButton="0" quotePrefix="0" xfId="0">
      <alignment horizontal="right"/>
    </xf>
    <xf numFmtId="164" fontId="4" fillId="9" borderId="2" pivotButton="0" quotePrefix="0" xfId="0"/>
    <xf numFmtId="0" fontId="9" fillId="0" borderId="0" pivotButton="0" quotePrefix="0" xfId="0"/>
    <xf numFmtId="0" fontId="10" fillId="10" borderId="7" applyAlignment="1" pivotButton="0" quotePrefix="0" xfId="0">
      <alignment horizontal="center"/>
    </xf>
    <xf numFmtId="0" fontId="4" fillId="10" borderId="7" pivotButton="0" quotePrefix="0" xfId="0"/>
    <xf numFmtId="3" fontId="4" fillId="10" borderId="2" applyAlignment="1" pivotButton="0" quotePrefix="0" xfId="0">
      <alignment horizontal="right"/>
    </xf>
    <xf numFmtId="165" fontId="4" fillId="10" borderId="2" pivotButton="0" quotePrefix="0" xfId="0"/>
    <xf numFmtId="0" fontId="10" fillId="0" borderId="7" applyAlignment="1" pivotButton="0" quotePrefix="0" xfId="0">
      <alignment horizontal="center"/>
    </xf>
    <xf numFmtId="0" fontId="12" fillId="0" borderId="7" applyAlignment="1" pivotButton="0" quotePrefix="0" xfId="0">
      <alignment horizontal="center"/>
    </xf>
    <xf numFmtId="165" fontId="4" fillId="0" borderId="2" pivotButton="0" quotePrefix="0" xfId="0"/>
    <xf numFmtId="166" fontId="4" fillId="0" borderId="7" pivotButton="0" quotePrefix="0" xfId="0"/>
    <xf numFmtId="3" fontId="13" fillId="0" borderId="2" applyAlignment="1" pivotButton="0" quotePrefix="0" xfId="0">
      <alignment horizontal="right"/>
    </xf>
    <xf numFmtId="3" fontId="14" fillId="8" borderId="7" applyAlignment="1" pivotButton="0" quotePrefix="0" xfId="0">
      <alignment horizontal="right"/>
    </xf>
    <xf numFmtId="167" fontId="4" fillId="0" borderId="7" pivotButton="0" quotePrefix="0" xfId="0"/>
    <xf numFmtId="3" fontId="13" fillId="0" borderId="2" applyAlignment="1" pivotButton="0" quotePrefix="0" xfId="0">
      <alignment horizontal="right"/>
    </xf>
    <xf numFmtId="168" fontId="4" fillId="0" borderId="7" pivotButton="0" quotePrefix="0" xfId="0"/>
    <xf numFmtId="164" fontId="12" fillId="0" borderId="2" pivotButton="0" quotePrefix="0" xfId="0"/>
    <xf numFmtId="164" fontId="12" fillId="3" borderId="2" pivotButton="0" quotePrefix="0" xfId="0"/>
    <xf numFmtId="164" fontId="4" fillId="10" borderId="2" pivotButton="0" quotePrefix="0" xfId="0"/>
    <xf numFmtId="169" fontId="4" fillId="0" borderId="7" pivotButton="0" quotePrefix="0" xfId="0"/>
    <xf numFmtId="166" fontId="10" fillId="0" borderId="7" applyAlignment="1" pivotButton="0" quotePrefix="0" xfId="0">
      <alignment horizontal="center"/>
    </xf>
    <xf numFmtId="14" fontId="4" fillId="0" borderId="7" pivotButton="0" quotePrefix="0" xfId="0"/>
    <xf numFmtId="14" fontId="12" fillId="0" borderId="7" applyAlignment="1" pivotButton="0" quotePrefix="0" xfId="0">
      <alignment horizontal="center"/>
    </xf>
    <xf numFmtId="14" fontId="4" fillId="10" borderId="7" pivotButton="0" quotePrefix="0" xfId="0"/>
    <xf numFmtId="0" fontId="10" fillId="11" borderId="7" applyAlignment="1" pivotButton="0" quotePrefix="0" xfId="0">
      <alignment horizontal="center"/>
    </xf>
    <xf numFmtId="0" fontId="4" fillId="11" borderId="7" pivotButton="0" quotePrefix="0" xfId="0"/>
    <xf numFmtId="3" fontId="4" fillId="11" borderId="2" applyAlignment="1" pivotButton="0" quotePrefix="0" xfId="0">
      <alignment horizontal="right"/>
    </xf>
    <xf numFmtId="164" fontId="4" fillId="11" borderId="2" pivotButton="0" quotePrefix="0" xfId="0"/>
    <xf numFmtId="0" fontId="9" fillId="0" borderId="0" pivotButton="0" quotePrefix="0" xfId="0"/>
    <xf numFmtId="0" fontId="4" fillId="3" borderId="0" pivotButton="0" quotePrefix="0" xfId="0"/>
    <xf numFmtId="3" fontId="15" fillId="12" borderId="7" applyAlignment="1" pivotButton="0" quotePrefix="0" xfId="0">
      <alignment horizontal="right"/>
    </xf>
    <xf numFmtId="0" fontId="12" fillId="0" borderId="7" applyAlignment="1" pivotButton="0" quotePrefix="0" xfId="0">
      <alignment horizontal="center"/>
    </xf>
    <xf numFmtId="3" fontId="14" fillId="8" borderId="2" applyAlignment="1" pivotButton="0" quotePrefix="0" xfId="0">
      <alignment horizontal="right"/>
    </xf>
    <xf numFmtId="3" fontId="14" fillId="8" borderId="2" applyAlignment="1" pivotButton="0" quotePrefix="0" xfId="0">
      <alignment horizontal="right"/>
    </xf>
    <xf numFmtId="164" fontId="12" fillId="0" borderId="7" applyAlignment="1" pivotButton="0" quotePrefix="0" xfId="0">
      <alignment horizontal="center"/>
    </xf>
    <xf numFmtId="0" fontId="17" fillId="0" borderId="0" pivotButton="0" quotePrefix="0" xfId="0"/>
    <xf numFmtId="0" fontId="18" fillId="0" borderId="7" applyAlignment="1" pivotButton="0" quotePrefix="0" xfId="0">
      <alignment horizontal="center"/>
    </xf>
    <xf numFmtId="0" fontId="4" fillId="9" borderId="7" applyAlignment="1" pivotButton="0" quotePrefix="0" xfId="0">
      <alignment horizontal="center"/>
    </xf>
    <xf numFmtId="164" fontId="10" fillId="9" borderId="2" pivotButton="0" quotePrefix="0" xfId="0"/>
    <xf numFmtId="0" fontId="4" fillId="9" borderId="7" pivotButton="0" quotePrefix="0" xfId="0"/>
    <xf numFmtId="3" fontId="4" fillId="9" borderId="2" applyAlignment="1" pivotButton="0" quotePrefix="0" xfId="0">
      <alignment horizontal="right"/>
    </xf>
    <xf numFmtId="166" fontId="4" fillId="6" borderId="1" pivotButton="0" quotePrefix="0" xfId="0"/>
    <xf numFmtId="0" fontId="4" fillId="6" borderId="1" pivotButton="0" quotePrefix="0" xfId="0"/>
    <xf numFmtId="3" fontId="4" fillId="6" borderId="5" applyAlignment="1" pivotButton="0" quotePrefix="0" xfId="0">
      <alignment horizontal="right"/>
    </xf>
    <xf numFmtId="164" fontId="4" fillId="6" borderId="5" pivotButton="0" quotePrefix="0" xfId="0"/>
    <xf numFmtId="0" fontId="0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3" fontId="4" fillId="0" borderId="0" applyAlignment="1" pivotButton="0" quotePrefix="0" xfId="0">
      <alignment horizontal="center" wrapText="1"/>
    </xf>
    <xf numFmtId="3" fontId="4" fillId="0" borderId="2" applyAlignment="1" pivotButton="0" quotePrefix="0" xfId="0">
      <alignment horizontal="center" wrapText="1"/>
    </xf>
    <xf numFmtId="3" fontId="4" fillId="9" borderId="2" applyAlignment="1" pivotButton="0" quotePrefix="0" xfId="0">
      <alignment horizontal="center" wrapText="1"/>
    </xf>
    <xf numFmtId="3" fontId="4" fillId="10" borderId="2" applyAlignment="1" pivotButton="0" quotePrefix="0" xfId="0">
      <alignment horizontal="center" wrapText="1"/>
    </xf>
    <xf numFmtId="3" fontId="12" fillId="0" borderId="2" applyAlignment="1" pivotButton="0" quotePrefix="0" xfId="0">
      <alignment horizontal="center" wrapText="1"/>
    </xf>
    <xf numFmtId="3" fontId="4" fillId="11" borderId="2" applyAlignment="1" pivotButton="0" quotePrefix="0" xfId="0">
      <alignment horizontal="center" wrapText="1"/>
    </xf>
    <xf numFmtId="3" fontId="18" fillId="0" borderId="2" applyAlignment="1" pivotButton="0" quotePrefix="0" xfId="0">
      <alignment horizontal="center" wrapText="1"/>
    </xf>
    <xf numFmtId="3" fontId="3" fillId="0" borderId="0" applyAlignment="1" pivotButton="0" quotePrefix="0" xfId="0">
      <alignment horizontal="center" wrapText="1"/>
    </xf>
    <xf numFmtId="3" fontId="13" fillId="0" borderId="2" applyAlignment="1" pivotButton="0" quotePrefix="0" xfId="0">
      <alignment horizontal="center" wrapText="1"/>
    </xf>
    <xf numFmtId="3" fontId="4" fillId="6" borderId="5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10" fillId="9" borderId="2" applyAlignment="1" pivotButton="0" quotePrefix="0" xfId="0">
      <alignment wrapText="1"/>
    </xf>
    <xf numFmtId="0" fontId="10" fillId="1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2" fillId="0" borderId="2" applyAlignment="1" pivotButton="0" quotePrefix="0" xfId="0">
      <alignment wrapText="1"/>
    </xf>
    <xf numFmtId="0" fontId="12" fillId="3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69" fontId="12" fillId="0" borderId="2" applyAlignment="1" pivotButton="0" quotePrefix="0" xfId="0">
      <alignment wrapText="1"/>
    </xf>
    <xf numFmtId="169" fontId="10" fillId="0" borderId="2" applyAlignment="1" pivotButton="0" quotePrefix="0" xfId="0">
      <alignment wrapText="1"/>
    </xf>
    <xf numFmtId="0" fontId="10" fillId="11" borderId="2" applyAlignment="1" pivotButton="0" quotePrefix="0" xfId="0">
      <alignment wrapText="1"/>
    </xf>
    <xf numFmtId="0" fontId="10" fillId="4" borderId="2" applyAlignment="1" pivotButton="0" quotePrefix="0" xfId="0">
      <alignment wrapText="1"/>
    </xf>
    <xf numFmtId="0" fontId="16" fillId="0" borderId="2" applyAlignment="1" pivotButton="0" quotePrefix="0" xfId="0">
      <alignment horizontal="left" wrapText="1"/>
    </xf>
    <xf numFmtId="0" fontId="18" fillId="0" borderId="2" applyAlignment="1" pivotButton="0" quotePrefix="0" xfId="0">
      <alignment wrapText="1"/>
    </xf>
    <xf numFmtId="0" fontId="10" fillId="3" borderId="2" applyAlignment="1" pivotButton="0" quotePrefix="0" xfId="0">
      <alignment wrapText="1"/>
    </xf>
    <xf numFmtId="0" fontId="10" fillId="6" borderId="5" applyAlignment="1" pivotButton="0" quotePrefix="0" xfId="0">
      <alignment wrapText="1"/>
    </xf>
    <xf numFmtId="43" fontId="9" fillId="4" borderId="2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 wrapText="1"/>
    </xf>
    <xf numFmtId="3" fontId="10" fillId="6" borderId="4" applyAlignment="1" pivotButton="0" quotePrefix="0" xfId="0">
      <alignment horizontal="center" vertical="center" wrapText="1"/>
    </xf>
    <xf numFmtId="3" fontId="10" fillId="7" borderId="4" applyAlignment="1" pivotButton="0" quotePrefix="0" xfId="0">
      <alignment horizontal="center" vertical="center" wrapText="1"/>
    </xf>
    <xf numFmtId="3" fontId="11" fillId="8" borderId="6" applyAlignment="1" pivotButton="0" quotePrefix="0" xfId="0">
      <alignment horizontal="center" vertical="center"/>
    </xf>
    <xf numFmtId="164" fontId="10" fillId="6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2" fillId="0" borderId="0" pivotButton="0" quotePrefix="0" xfId="0"/>
    <xf numFmtId="0" fontId="23" fillId="15" borderId="0" applyAlignment="1" pivotButton="0" quotePrefix="0" xfId="0">
      <alignment horizontal="center" vertical="center"/>
    </xf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170" fontId="25" fillId="0" borderId="0" applyAlignment="1" pivotButton="0" quotePrefix="0" xfId="0">
      <alignment horizontal="center"/>
    </xf>
    <xf numFmtId="0" fontId="26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164" fontId="4" fillId="0" borderId="0" pivotButton="0" quotePrefix="0" xfId="0"/>
    <xf numFmtId="164" fontId="10" fillId="6" borderId="3" applyAlignment="1" pivotButton="0" quotePrefix="0" xfId="0">
      <alignment horizontal="center" vertical="center"/>
    </xf>
    <xf numFmtId="0" fontId="19" fillId="13" borderId="0" applyAlignment="1" pivotButton="0" quotePrefix="0" xfId="0">
      <alignment horizontal="center" vertical="center" wrapText="1"/>
    </xf>
    <xf numFmtId="0" fontId="19" fillId="14" borderId="0" applyAlignment="1" pivotButton="0" quotePrefix="0" xfId="0">
      <alignment horizontal="center" vertical="center" wrapText="1"/>
    </xf>
    <xf numFmtId="164" fontId="4" fillId="9" borderId="2" pivotButton="0" quotePrefix="0" xfId="0"/>
    <xf numFmtId="165" fontId="4" fillId="10" borderId="2" pivotButton="0" quotePrefix="0" xfId="0"/>
    <xf numFmtId="164" fontId="4" fillId="0" borderId="2" pivotButton="0" quotePrefix="0" xfId="0"/>
    <xf numFmtId="0" fontId="0" fillId="0" borderId="0" applyAlignment="1" pivotButton="0" quotePrefix="0" xfId="0">
      <alignment horizontal="left" vertical="center"/>
    </xf>
    <xf numFmtId="166" fontId="4" fillId="0" borderId="7" pivotButton="0" quotePrefix="0" xfId="0"/>
    <xf numFmtId="167" fontId="4" fillId="0" borderId="7" pivotButton="0" quotePrefix="0" xfId="0"/>
    <xf numFmtId="168" fontId="4" fillId="0" borderId="7" pivotButton="0" quotePrefix="0" xfId="0"/>
    <xf numFmtId="164" fontId="12" fillId="0" borderId="2" pivotButton="0" quotePrefix="0" xfId="0"/>
    <xf numFmtId="164" fontId="12" fillId="3" borderId="2" pivotButton="0" quotePrefix="0" xfId="0"/>
    <xf numFmtId="164" fontId="4" fillId="10" borderId="2" pivotButton="0" quotePrefix="0" xfId="0"/>
    <xf numFmtId="169" fontId="12" fillId="0" borderId="2" applyAlignment="1" pivotButton="0" quotePrefix="0" xfId="0">
      <alignment wrapText="1"/>
    </xf>
    <xf numFmtId="169" fontId="10" fillId="0" borderId="2" applyAlignment="1" pivotButton="0" quotePrefix="0" xfId="0">
      <alignment wrapText="1"/>
    </xf>
    <xf numFmtId="169" fontId="4" fillId="0" borderId="7" pivotButton="0" quotePrefix="0" xfId="0"/>
    <xf numFmtId="166" fontId="10" fillId="0" borderId="7" applyAlignment="1" pivotButton="0" quotePrefix="0" xfId="0">
      <alignment horizontal="center"/>
    </xf>
    <xf numFmtId="164" fontId="4" fillId="11" borderId="2" pivotButton="0" quotePrefix="0" xfId="0"/>
    <xf numFmtId="165" fontId="4" fillId="0" borderId="2" pivotButton="0" quotePrefix="0" xfId="0"/>
    <xf numFmtId="164" fontId="12" fillId="0" borderId="7" applyAlignment="1" pivotButton="0" quotePrefix="0" xfId="0">
      <alignment horizontal="center"/>
    </xf>
    <xf numFmtId="164" fontId="10" fillId="9" borderId="2" pivotButton="0" quotePrefix="0" xfId="0"/>
    <xf numFmtId="166" fontId="4" fillId="6" borderId="1" pivotButton="0" quotePrefix="0" xfId="0"/>
    <xf numFmtId="164" fontId="4" fillId="6" borderId="5" pivotButton="0" quotePrefix="0" xfId="0"/>
    <xf numFmtId="0" fontId="31" fillId="0" borderId="0" pivotButton="0" quotePrefix="0" xfId="0"/>
    <xf numFmtId="0" fontId="32" fillId="16" borderId="0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/>
    </xf>
    <xf numFmtId="0" fontId="34" fillId="0" borderId="8" applyAlignment="1" pivotButton="0" quotePrefix="0" xfId="0">
      <alignment horizontal="center"/>
    </xf>
    <xf numFmtId="0" fontId="33" fillId="0" borderId="8" pivotButton="0" quotePrefix="0" xfId="0"/>
    <xf numFmtId="171" fontId="33" fillId="0" borderId="8" applyAlignment="1" pivotButton="0" quotePrefix="0" xfId="0">
      <alignment horizontal="right"/>
    </xf>
    <xf numFmtId="171" fontId="35" fillId="17" borderId="8" applyAlignment="1" pivotButton="0" quotePrefix="0" xfId="0">
      <alignment horizontal="right"/>
    </xf>
    <xf numFmtId="0" fontId="35" fillId="17" borderId="8" applyAlignment="1" pivotButton="0" quotePrefix="0" xfId="0">
      <alignment horizontal="center"/>
    </xf>
    <xf numFmtId="0" fontId="33" fillId="0" borderId="8" applyAlignment="1" pivotButton="0" quotePrefix="0" xfId="0">
      <alignment horizontal="left"/>
    </xf>
    <xf numFmtId="0" fontId="36" fillId="0" borderId="0" pivotButton="0" quotePrefix="0" xfId="0"/>
    <xf numFmtId="0" fontId="37" fillId="0" borderId="8" pivotButton="0" quotePrefix="0" xfId="0"/>
    <xf numFmtId="0" fontId="37" fillId="0" borderId="8" applyAlignment="1" pivotButton="0" quotePrefix="0" xfId="0">
      <alignment horizontal="center" vertical="center"/>
    </xf>
    <xf numFmtId="0" fontId="26" fillId="0" borderId="8" applyAlignment="1" pivotButton="0" quotePrefix="0" xfId="0">
      <alignment horizontal="left" vertical="center" wrapText="1"/>
    </xf>
    <xf numFmtId="0" fontId="23" fillId="15" borderId="0" pivotButton="0" quotePrefix="0" xfId="0"/>
    <xf numFmtId="0" fontId="37" fillId="18" borderId="8" pivotButton="0" quotePrefix="0" xfId="0"/>
    <xf numFmtId="0" fontId="26" fillId="0" borderId="8" pivotButton="0" quotePrefix="0" xfId="0"/>
    <xf numFmtId="0" fontId="37" fillId="19" borderId="8" pivotButton="0" quotePrefix="0" xfId="0"/>
    <xf numFmtId="0" fontId="37" fillId="20" borderId="8" pivotButton="0" quotePrefix="0" xfId="0"/>
    <xf numFmtId="0" fontId="38" fillId="0" borderId="0" pivotButton="0" quotePrefix="0" xfId="0"/>
    <xf numFmtId="0" fontId="39" fillId="0" borderId="0" pivotButton="0" quotePrefix="0" xfId="0"/>
    <xf numFmtId="0" fontId="40" fillId="21" borderId="8" applyAlignment="1" pivotButton="0" quotePrefix="0" xfId="0">
      <alignment horizontal="center" vertical="center" wrapText="1"/>
    </xf>
    <xf numFmtId="0" fontId="37" fillId="22" borderId="8" applyAlignment="1" pivotButton="0" quotePrefix="0" xfId="0">
      <alignment horizontal="center" vertical="center" wrapText="1"/>
    </xf>
    <xf numFmtId="0" fontId="37" fillId="23" borderId="8" applyAlignment="1" pivotButton="0" quotePrefix="0" xfId="0">
      <alignment horizontal="center" vertical="center" wrapText="1"/>
    </xf>
    <xf numFmtId="0" fontId="37" fillId="24" borderId="8" applyAlignment="1" pivotButton="0" quotePrefix="0" xfId="0">
      <alignment horizontal="center" vertical="center" wrapText="1"/>
    </xf>
    <xf numFmtId="0" fontId="37" fillId="25" borderId="8" applyAlignment="1" pivotButton="0" quotePrefix="0" xfId="0">
      <alignment horizontal="center" vertical="center" wrapText="1"/>
    </xf>
    <xf numFmtId="0" fontId="37" fillId="26" borderId="8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8" applyAlignment="1" pivotButton="0" quotePrefix="0" xfId="0">
      <alignment horizontal="center"/>
    </xf>
    <xf numFmtId="171" fontId="0" fillId="0" borderId="8" pivotButton="0" quotePrefix="0" xfId="0"/>
    <xf numFmtId="171" fontId="0" fillId="0" borderId="8" applyAlignment="1" pivotButton="0" quotePrefix="0" xfId="0">
      <alignment horizontal="right"/>
    </xf>
  </cellXfs>
  <cellStyles count="1">
    <cellStyle name="Normal" xfId="0" builtinId="0"/>
  </cellStyles>
  <dxfs count="27"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Arial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Arial"/>
        <color rgb="009C5700"/>
        <sz val="10"/>
      </font>
      <fill>
        <patternFill patternType="solid">
          <fgColor rgb="00FFEB9C"/>
          <bgColor rgb="00FFEB9C"/>
        </patternFill>
      </fill>
    </dxf>
  </dxfs>
  <tableStyles count="6" defaultTableStyle="TableStyleMedium9" defaultPivotStyle="PivotStyleLight16">
    <tableStyle name="Nhập Liệu Đặt Hàng Mới-style" pivot="0" count="2">
      <tableStyleElement type="firstRowStripe" dxfId="23"/>
      <tableStyleElement type="secondRowStripe" dxfId="22"/>
    </tableStyle>
    <tableStyle name="Đặt hàng-style" pivot="0" count="4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Bảng tổng hợp đơn hàng-style" pivot="0" count="4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Đặt hàng-style 2" pivot="0" count="3">
      <tableStyleElement type="headerRow" dxfId="13"/>
      <tableStyleElement type="firstRowStripe" dxfId="12"/>
      <tableStyleElement type="secondRowStripe" dxfId="11"/>
    </tableStyle>
    <tableStyle name="Data-Donhang-style" pivot="0" count="4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Báo cáo nhập xuất-style" pivot="0" count="4">
      <tableStyleElement type="wholeTable" size="0" dxfId="3"/>
      <tableStyleElement type="headerRow" dxfId="6"/>
      <tableStyleElement type="firstRowStripe" dxfId="5"/>
      <tableStyleElement type="second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3"/>
  <sheetViews>
    <sheetView workbookViewId="0">
      <selection activeCell="A1" sqref="A1"/>
    </sheetView>
  </sheetViews>
  <sheetFormatPr baseColWidth="8" defaultRowHeight="15"/>
  <cols>
    <col width="4" customWidth="1" style="75" min="1" max="1"/>
    <col width="24" customWidth="1" style="75" min="2" max="2"/>
    <col width="32" customWidth="1" style="75" min="3" max="3"/>
    <col width="70" customWidth="1" style="75" min="4" max="4"/>
  </cols>
  <sheetData>
    <row r="2">
      <c r="B2" s="118" t="inlineStr">
        <is>
          <t>HƯỚNG DẪN QUY CHUẨN MẪU: QUẢN LÝ KHỐI LƯỢNG BOQ &amp; KIỂM SOÁT ĐẶT HÀNG VẬT TƯ</t>
        </is>
      </c>
    </row>
    <row r="3">
      <c r="B3" s="164" t="inlineStr">
        <is>
          <t>Hệ thống Quản lý Dự án &amp; Kiểm soát Chi phí Cơ Điện / Xây dựng (xBOSS Standard Template)</t>
        </is>
      </c>
    </row>
    <row r="5">
      <c r="B5" s="120" t="inlineStr">
        <is>
          <t>I. 4 NGUYÊN TẮC CỐT LÕI CỦA BIỂU MẪU BOQ</t>
        </is>
      </c>
    </row>
    <row r="6">
      <c r="B6" s="121" t="inlineStr">
        <is>
          <t>Thuật ngữ / Cột</t>
        </is>
      </c>
      <c r="C6" s="121" t="inlineStr">
        <is>
          <t>Vị trí cột</t>
        </is>
      </c>
      <c r="D6" s="121" t="inlineStr">
        <is>
          <t>Ý nghĩa nghiệp vụ &amp; Quy định bắt buộc</t>
        </is>
      </c>
    </row>
    <row r="7">
      <c r="B7" s="165" t="inlineStr">
        <is>
          <t>1. Mã BOQ là DUY NHẤT (Unique Key)</t>
        </is>
      </c>
      <c r="C7" s="166" t="inlineStr">
        <is>
          <t>Cột A</t>
        </is>
      </c>
      <c r="D7" s="167" t="inlineStr">
        <is>
          <t>Mỗi chủng loại vật tư / công tác bắt buộc phải có một Mã BOQ duy nhất toàn dự án. Mã này được dùng xuyên suốt để truy xuất, lập đơn đặt hàng vật tư (PO/PR), xuất kho, và nghiệm thu thanh toán.</t>
        </is>
      </c>
    </row>
    <row r="8">
      <c r="B8" s="165" t="inlineStr">
        <is>
          <t>2. Khối lượng BOQ (Dự toán ban đầu)</t>
        </is>
      </c>
      <c r="C8" s="166" t="inlineStr">
        <is>
          <t>Cột F</t>
        </is>
      </c>
      <c r="D8" s="167" t="inlineStr">
        <is>
          <t>Khối lượng theo hồ sơ trúng thầu / Phụ lục hợp đồng đã ký kết giữa Nhà thầu và Chủ đầu tư. Đây là ngân sách trần ban đầu được phê duyệt.</t>
        </is>
      </c>
    </row>
    <row r="9">
      <c r="B9" s="165" t="inlineStr">
        <is>
          <t>3. Khối lượng Định mức (Bản vẽ Shop)</t>
        </is>
      </c>
      <c r="C9" s="166" t="inlineStr">
        <is>
          <t>Cột G</t>
        </is>
      </c>
      <c r="D9" s="167" t="inlineStr">
        <is>
          <t>Khối lượng thực tế do Kỹ sư công trường / Thầu phụ bóc tách chi tiết từ bản vẽ thi công (Shop drawings) đã được phê duyệt.</t>
        </is>
      </c>
    </row>
    <row r="10">
      <c r="B10" s="165" t="inlineStr">
        <is>
          <t>4. Chênh lệch &amp; Kiểm soát Đặt hàng</t>
        </is>
      </c>
      <c r="C10" s="166" t="inlineStr">
        <is>
          <t>Cột H, J, K</t>
        </is>
      </c>
      <c r="D10" s="167" t="inlineStr">
        <is>
          <t>Công thức: [Chênh lệch] = [Khối lượng BOQ] - [Khối lượng Định mức].
• Nếu &gt;= 0: Cho phép đặt hàng (&lt;= Định mức bóc tách).
• Nếu &lt; 0: CHẶN ĐẶT HÀNG NGAY LẬP TỨC. Yêu cầu làm hồ sơ bảo vệ khối lượng -&gt; QS xác nhận -&gt; Duyệt sửa BOQ mới mở quyền đặt hàng.</t>
        </is>
      </c>
    </row>
    <row r="12">
      <c r="B12" s="120" t="inlineStr">
        <is>
          <t>II. QUY TRÌNH 5 BƯỚC KIỂM SOÁT ĐẶT HÀNG VẬT TƯ (PROCUREMENT CONTROL)</t>
        </is>
      </c>
    </row>
    <row r="13">
      <c r="B13" s="168" t="inlineStr">
        <is>
          <t>Bước thực hiện</t>
        </is>
      </c>
      <c r="C13" s="168" t="inlineStr">
        <is>
          <t>Người chịu trách nhiệm</t>
        </is>
      </c>
      <c r="D13" s="168" t="inlineStr">
        <is>
          <t>Nội dung thực hiện chi tiết</t>
        </is>
      </c>
    </row>
    <row r="14">
      <c r="B14" s="165" t="inlineStr">
        <is>
          <t>Bước 1: Khởi tạo BOQ Dự toán</t>
        </is>
      </c>
      <c r="C14" s="166" t="inlineStr">
        <is>
          <t>Phòng QS</t>
        </is>
      </c>
      <c r="D14" s="167" t="inlineStr">
        <is>
          <t>Nhập danh mục công tác, mã BOQ và Khối lượng BOQ (Cột F) từ Hợp đồng.</t>
        </is>
      </c>
    </row>
    <row r="15">
      <c r="B15" s="165" t="inlineStr">
        <is>
          <t>Bước 2: Bóc tách bản vẽ Shop</t>
        </is>
      </c>
      <c r="C15" s="166" t="inlineStr">
        <is>
          <t>Kỹ sư / Thầu phụ</t>
        </is>
      </c>
      <c r="D15" s="167" t="inlineStr">
        <is>
          <t>Cập nhật Khối lượng Định mức thực tế (Cột G) sau khi bản vẽ Shop Drawing được duyệt.</t>
        </is>
      </c>
    </row>
    <row r="16">
      <c r="B16" s="165" t="inlineStr">
        <is>
          <t>Bước 3: Tự động kiểm tra Chênh lệch</t>
        </is>
      </c>
      <c r="C16" s="166" t="inlineStr">
        <is>
          <t>Hệ thống Excel</t>
        </is>
      </c>
      <c r="D16" s="167" t="inlineStr">
        <is>
          <t>Cột H tự động tính Chênh lệch = F - G. Cột J tự động phân loại [OK] hoặc [CHẶN].</t>
        </is>
      </c>
    </row>
    <row r="17">
      <c r="B17" s="165" t="inlineStr">
        <is>
          <t>Bước 4: Xử lý Vượt Định mức (&lt; 0)</t>
        </is>
      </c>
      <c r="C17" s="166" t="inlineStr">
        <is>
          <t>Kỹ sư &amp; QS</t>
        </is>
      </c>
      <c r="D17" s="167" t="inlineStr">
        <is>
          <t>Với các mã bị CHẶN (&lt; 0), Kỹ sư lập phiếu giải trình nguyên nhân sai lệch -&gt; QS kiểm tra hiện trường/bản vẽ -&gt; Trình CĐT/Ban QLDA phê duyệt bổ sung BOQ (Variation Order).</t>
        </is>
      </c>
    </row>
    <row r="18">
      <c r="B18" s="165" t="inlineStr">
        <is>
          <t>Bước 5: Cấp phát &amp; Đặt hàng (PO)</t>
        </is>
      </c>
      <c r="C18" s="166" t="inlineStr">
        <is>
          <t>Phòng Mua hàng (Procurement)</t>
        </is>
      </c>
      <c r="D18" s="167" t="inlineStr">
        <is>
          <t>Chỉ phát hành Đơn đặt hàng (PO/PR) cho các mã có trạng thái [OK] với số lượng tối đa không vượt quá Khối lượng Định mức (Cột G).</t>
        </is>
      </c>
    </row>
    <row r="20">
      <c r="B20" s="120" t="inlineStr">
        <is>
          <t>III. QUY ƯỚC MÀU SẮC TRÊN BIỂU MẪU (COLOR LEGEND)</t>
        </is>
      </c>
    </row>
    <row r="21">
      <c r="B21" s="169" t="inlineStr">
        <is>
          <t>Màu Xanh lá (Green)</t>
        </is>
      </c>
      <c r="C21" s="165" t="inlineStr">
        <is>
          <t>Chênh lệch &gt;= 0 (Định mức &lt;= BOQ)</t>
        </is>
      </c>
      <c r="D21" s="170" t="inlineStr">
        <is>
          <t>✅ OK - Cho phép đặt hàng theo định mức bóc tách.</t>
        </is>
      </c>
    </row>
    <row r="22">
      <c r="B22" s="171" t="inlineStr">
        <is>
          <t>Màu Đỏ/Hồng (Red)</t>
        </is>
      </c>
      <c r="C22" s="165" t="inlineStr">
        <is>
          <t>Chênh lệch &lt; 0 (Định mức &gt; BOQ)</t>
        </is>
      </c>
      <c r="D22" s="170" t="inlineStr">
        <is>
          <t>❌ CHẶN ĐẶT HÀNG - Vượt dự toán, bắt buộc QS duyệt sửa BOQ.</t>
        </is>
      </c>
    </row>
    <row r="23">
      <c r="B23" s="172" t="inlineStr">
        <is>
          <t>Màu Vàng (Yellow)</t>
        </is>
      </c>
      <c r="C23" s="165" t="inlineStr">
        <is>
          <t>Chưa nhập Cột G (Định mức trống)</t>
        </is>
      </c>
      <c r="D23" s="170" t="inlineStr">
        <is>
          <t>⚠️ Cảnh báo Kỹ sư / Thầu phụ cần hoàn thành bóc tách bản vẽ.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48"/>
  <sheetViews>
    <sheetView workbookViewId="0">
      <selection activeCell="A1" sqref="A1"/>
    </sheetView>
  </sheetViews>
  <sheetFormatPr baseColWidth="8" defaultRowHeight="15"/>
  <cols>
    <col width="6" customWidth="1" style="75" min="1" max="1"/>
    <col width="38" customWidth="1" style="75" min="2" max="2"/>
    <col width="45" customWidth="1" style="75" min="3" max="3"/>
    <col width="16" customWidth="1" style="75" min="4" max="4"/>
    <col width="45" customWidth="1" style="75" min="5" max="5"/>
    <col width="16" customWidth="1" style="75" min="6" max="6"/>
    <col width="16" customWidth="1" style="75" min="7" max="7"/>
    <col width="22" customWidth="1" style="75" min="8" max="8"/>
    <col width="35" customWidth="1" style="75" min="9" max="9"/>
  </cols>
  <sheetData>
    <row r="2">
      <c r="B2" s="118" t="inlineStr">
        <is>
          <t>BẢNG ĐIỀU KHIỂN &amp; KIỂM SOÁT KHỐI LƯỢNG BOQ - ĐẶT HÀNG VẬT TƯ THÁP A</t>
        </is>
      </c>
    </row>
    <row r="3">
      <c r="B3" s="119" t="inlineStr">
        <is>
          <t>Dự án: BD1.6 - TT AVIO | Gói thầu: Hệ thống Cơ điện ACMV | Nguyên tắc: Mã BOQ duy nhất</t>
        </is>
      </c>
    </row>
    <row r="5">
      <c r="B5" s="120" t="inlineStr">
        <is>
          <t>I. TỔNG HỢP KIỂM SOÁT ĐỊNH MỨC &amp; ĐẶT HÀNG</t>
        </is>
      </c>
    </row>
    <row r="6">
      <c r="B6" s="121" t="inlineStr">
        <is>
          <t>Chỉ tiêu kiểm soát</t>
        </is>
      </c>
      <c r="C6" s="121" t="inlineStr">
        <is>
          <t>Số lượng mã BOQ</t>
        </is>
      </c>
      <c r="D6" s="121" t="inlineStr">
        <is>
          <t>Tỷ lệ (%)</t>
        </is>
      </c>
      <c r="E6" s="121" t="inlineStr">
        <is>
          <t>Trạng thái kiểm soát vật tư</t>
        </is>
      </c>
    </row>
    <row r="7">
      <c r="B7" s="122" t="inlineStr">
        <is>
          <t>Tổng số hạng mục / mã BOQ quản lý</t>
        </is>
      </c>
      <c r="C7" s="123">
        <f>COUNTA('Data-BOQ'!A7:A883)</f>
        <v/>
      </c>
      <c r="D7" s="124" t="inlineStr">
        <is>
          <t>100%</t>
        </is>
      </c>
      <c r="E7" s="125" t="inlineStr">
        <is>
          <t>Mã BOQ duy nhất toàn dự án</t>
        </is>
      </c>
    </row>
    <row r="8">
      <c r="B8" s="126" t="inlineStr">
        <is>
          <t>1. Đã bóc tách định mức (Khối lượng thực tế bản vẽ)</t>
        </is>
      </c>
      <c r="C8" s="123">
        <f>COUNT('Data-BOQ'!G7:G883)</f>
        <v/>
      </c>
      <c r="D8" s="124">
        <f>C8/C7</f>
        <v/>
      </c>
      <c r="E8" s="125" t="inlineStr">
        <is>
          <t>Kỹ sư/Thầu phụ đã cập nhật</t>
        </is>
      </c>
    </row>
    <row r="9">
      <c r="B9" s="122" t="inlineStr">
        <is>
          <t xml:space="preserve">   - ✅ Hợp lệ / Đủ điều kiện đặt hàng (Chênh lệch &gt;= 0)</t>
        </is>
      </c>
      <c r="C9" s="123">
        <f>COUNTIFS('Data-BOQ'!H7:H883, "&gt;=0", 'Data-BOQ'!G7:G883, "&lt;&gt;""")</f>
        <v/>
      </c>
      <c r="D9" s="124">
        <f>C9/C7</f>
        <v/>
      </c>
      <c r="E9" s="127" t="inlineStr">
        <is>
          <t>✅ CHO PHÉP ĐẶT HÀNG (&lt;= Định mức)</t>
        </is>
      </c>
    </row>
    <row r="10">
      <c r="B10" s="122" t="inlineStr">
        <is>
          <t xml:space="preserve">   - ❌ Vượt định mức so với BOQ (Chênh lệch &lt; 0)</t>
        </is>
      </c>
      <c r="C10" s="123">
        <f>COUNTIF('Data-BOQ'!H7:H883, "&lt;0")</f>
        <v/>
      </c>
      <c r="D10" s="124">
        <f>C10/C7</f>
        <v/>
      </c>
      <c r="E10" s="128" t="inlineStr">
        <is>
          <t>❌ CHẶN ĐẶT HÀNG (Cần QS bảo vệ &amp; sửa BOQ)</t>
        </is>
      </c>
    </row>
    <row r="11">
      <c r="B11" s="126" t="inlineStr">
        <is>
          <t>2. ⚠️ Chưa bóc tách định mức (Cột định mức trống)</t>
        </is>
      </c>
      <c r="C11" s="123">
        <f>COUNTBLANK('Data-BOQ'!G10:G883)</f>
        <v/>
      </c>
      <c r="D11" s="124">
        <f>C11/C7</f>
        <v/>
      </c>
      <c r="E11" s="125" t="inlineStr">
        <is>
          <t>⚠️ Cần kỹ sư/thầu phụ bóc tách gấp</t>
        </is>
      </c>
    </row>
    <row r="14">
      <c r="B14" s="120" t="inlineStr">
        <is>
          <t>II. QUY TRÌNH &amp; NGUYÊN TẮC KIỂM SOÁT ĐẶT HÀNG</t>
        </is>
      </c>
    </row>
    <row r="15">
      <c r="B15" s="129" t="inlineStr">
        <is>
          <t>1. Mã BOQ:</t>
        </is>
      </c>
      <c r="C15" s="130" t="inlineStr">
        <is>
          <t>Mã BOQ là DUY NHẤT. Mọi phiếu xuất kho, đơn đặt hàng (PO/PR), nghiệm thu thanh toán đều phải dẫn chiếu đúng Mã BOQ.</t>
        </is>
      </c>
    </row>
    <row r="16">
      <c r="B16" s="129" t="inlineStr">
        <is>
          <t>2. Khối lượng BOQ Tháp A:</t>
        </is>
      </c>
      <c r="C16" s="130" t="inlineStr">
        <is>
          <t>Khối lượng dự toán ban đầu theo hồ sơ trúng thầu / Hợp đồng đã ký với Chủ đầu tư.</t>
        </is>
      </c>
    </row>
    <row r="17">
      <c r="B17" s="129" t="inlineStr">
        <is>
          <t>3. Khối lượng Định mức Tháp A:</t>
        </is>
      </c>
      <c r="C17" s="130" t="inlineStr">
        <is>
          <t>Khối lượng thực tế do Kỹ sư công trường / Thầu phụ bóc tách chi tiết từ bản vẽ thi công (Shop drawing) đã phê duyệt.</t>
        </is>
      </c>
    </row>
    <row r="18">
      <c r="B18" s="129" t="inlineStr">
        <is>
          <t>4. Chênh lệch Định mức:</t>
        </is>
      </c>
      <c r="C18" s="130" t="inlineStr">
        <is>
          <t>Công thức: [Chênh lệch] = [Khối lượng BOQ Tháp A] - [Khối lượng Định mức Tháp A].</t>
        </is>
      </c>
    </row>
    <row r="19">
      <c r="B19" s="129" t="inlineStr">
        <is>
          <t>5. Kiểm soát đặt hàng (&gt;= 0):</t>
        </is>
      </c>
      <c r="C19" s="130" t="inlineStr">
        <is>
          <t>Nếu Chênh lệch &gt;= 0 (Định mức thực tế &lt;= BOQ dự toán): ĐỦ ĐIỀU KIỆN ĐẶT HÀNG. Đặt hàng tối đa bằng Khối lượng Định mức bóc tách.</t>
        </is>
      </c>
    </row>
    <row r="20">
      <c r="B20" s="129" t="inlineStr">
        <is>
          <t>6. Kiểm soát đặt hàng (&lt; 0):</t>
        </is>
      </c>
      <c r="C20" s="130" t="inlineStr">
        <is>
          <t>Nếu Chênh lệch &lt; 0 (Định mức thực tế &gt; BOQ dự toán): CHẶN ĐẶT HÀNG NGAY LẬP TỨC. Bắt buộc Kỹ sư/Thầu phụ làm hồ sơ bảo vệ khối lượng -&gt; Kỹ sư QS xác nhận nguyên nhân sai lệch -&gt; Trình duyệt phát sinh (VO) và sửa BOQ trước khi phát hành PO mua hàng.</t>
        </is>
      </c>
    </row>
    <row r="23">
      <c r="B23" s="155" t="inlineStr">
        <is>
          <t>III. DANH SÁCH CÁC MÃ BOQ BỊ VƯỢT ĐỊNH MỨC (CHẶN ĐẶT HÀNG - CẦN QS BẢO VỆ KHỐI LƯỢNG)</t>
        </is>
      </c>
    </row>
    <row r="24">
      <c r="A24" s="156" t="inlineStr">
        <is>
          <t>STT</t>
        </is>
      </c>
      <c r="B24" s="156" t="inlineStr">
        <is>
          <t>Mã BOQ</t>
        </is>
      </c>
      <c r="C24" s="156" t="inlineStr">
        <is>
          <t>Mô tả chi tiết</t>
        </is>
      </c>
      <c r="D24" s="156" t="inlineStr">
        <is>
          <t>ĐVT</t>
        </is>
      </c>
      <c r="E24" s="156" t="inlineStr">
        <is>
          <t>BOQ Tháp A (Dự toán)</t>
        </is>
      </c>
      <c r="F24" s="156" t="inlineStr">
        <is>
          <t>Định mức Tháp A (Bản vẽ)</t>
        </is>
      </c>
      <c r="G24" s="156" t="inlineStr">
        <is>
          <t>Chênh lệch (Thiếu)</t>
        </is>
      </c>
      <c r="H24" s="156" t="inlineStr">
        <is>
          <t>Trạng thái kiểm soát</t>
        </is>
      </c>
      <c r="I24" s="156" t="inlineStr">
        <is>
          <t>Hành động yêu cầu</t>
        </is>
      </c>
    </row>
    <row r="25">
      <c r="A25" s="157" t="n">
        <v>1</v>
      </c>
      <c r="B25" s="158" t="inlineStr">
        <is>
          <t>DHKK-D.I1.4.1</t>
        </is>
      </c>
      <c r="C25" s="159" t="inlineStr">
        <is>
          <t>Ống thoát nước ngưng uPVC Ø21</t>
        </is>
      </c>
      <c r="D25" s="157" t="inlineStr">
        <is>
          <t>m</t>
        </is>
      </c>
      <c r="E25" s="160" t="n">
        <v>11174</v>
      </c>
      <c r="F25" s="160" t="n">
        <v>14883</v>
      </c>
      <c r="G25" s="161" t="n">
        <v>-3709</v>
      </c>
      <c r="H25" s="162" t="inlineStr">
        <is>
          <t>❌ CHẶN ĐẶT HÀNG</t>
        </is>
      </c>
      <c r="I25" s="163" t="inlineStr">
        <is>
          <t>Vượt 3,709.0 m -&gt; QS bảo vệ khối lượng &amp; sửa BOQ</t>
        </is>
      </c>
    </row>
    <row r="26">
      <c r="A26" s="157" t="n">
        <v>2</v>
      </c>
      <c r="B26" s="158" t="inlineStr">
        <is>
          <t>DHKK-D.I1.5.2</t>
        </is>
      </c>
      <c r="C26" s="159" t="inlineStr">
        <is>
          <t>Bảo ôn ống nước ngưng Ø21 dày 13mm</t>
        </is>
      </c>
      <c r="D26" s="157" t="inlineStr">
        <is>
          <t>m</t>
        </is>
      </c>
      <c r="E26" s="160" t="n">
        <v>5013</v>
      </c>
      <c r="F26" s="160" t="n">
        <v>7964</v>
      </c>
      <c r="G26" s="161" t="n">
        <v>-2951</v>
      </c>
      <c r="H26" s="162" t="inlineStr">
        <is>
          <t>❌ CHẶN ĐẶT HÀNG</t>
        </is>
      </c>
      <c r="I26" s="163" t="inlineStr">
        <is>
          <t>Vượt 2,951.0 m -&gt; QS bảo vệ khối lượng &amp; sửa BOQ</t>
        </is>
      </c>
    </row>
    <row r="27">
      <c r="A27" s="157" t="n">
        <v>3</v>
      </c>
      <c r="B27" s="158" t="inlineStr">
        <is>
          <t>DHKK-D.I2.3.7</t>
        </is>
      </c>
      <c r="C27" s="159" t="inlineStr">
        <is>
          <t>Ống gió mềm không cách nhiệt D150</t>
        </is>
      </c>
      <c r="D27" s="157" t="inlineStr">
        <is>
          <t>m</t>
        </is>
      </c>
      <c r="E27" s="160" t="n">
        <v>1976</v>
      </c>
      <c r="F27" s="160" t="n">
        <v>2808</v>
      </c>
      <c r="G27" s="161" t="n">
        <v>-832</v>
      </c>
      <c r="H27" s="162" t="inlineStr">
        <is>
          <t>❌ CHẶN ĐẶT HÀNG</t>
        </is>
      </c>
      <c r="I27" s="163" t="inlineStr">
        <is>
          <t>Vượt 832.0 m -&gt; QS bảo vệ khối lượng &amp; sửa BOQ</t>
        </is>
      </c>
    </row>
    <row r="28">
      <c r="A28" s="157" t="n">
        <v>4</v>
      </c>
      <c r="B28" s="158" t="inlineStr">
        <is>
          <t>DHKK-D.I1.5.1</t>
        </is>
      </c>
      <c r="C28" s="159" t="inlineStr">
        <is>
          <t>Bảo ôn ống nước ngưng Ø21 dày 9mm</t>
        </is>
      </c>
      <c r="D28" s="157" t="inlineStr">
        <is>
          <t>m</t>
        </is>
      </c>
      <c r="E28" s="160" t="n">
        <v>6159</v>
      </c>
      <c r="F28" s="160" t="n">
        <v>6920</v>
      </c>
      <c r="G28" s="161" t="n">
        <v>-761</v>
      </c>
      <c r="H28" s="162" t="inlineStr">
        <is>
          <t>❌ CHẶN ĐẶT HÀNG</t>
        </is>
      </c>
      <c r="I28" s="163" t="inlineStr">
        <is>
          <t>Vượt 761.0 m -&gt; QS bảo vệ khối lượng &amp; sửa BOQ</t>
        </is>
      </c>
    </row>
    <row r="29">
      <c r="A29" s="157" t="n">
        <v>5</v>
      </c>
      <c r="B29" s="158" t="inlineStr">
        <is>
          <t>DHKK-C-I.3.3</t>
        </is>
      </c>
      <c r="C29" s="159" t="inlineStr">
        <is>
          <t>Ống thoát nước ngưng uPVC Ø42</t>
        </is>
      </c>
      <c r="D29" s="157" t="inlineStr">
        <is>
          <t>m</t>
        </is>
      </c>
      <c r="E29" s="160" t="n">
        <v>4410</v>
      </c>
      <c r="F29" s="160" t="n">
        <v>4849</v>
      </c>
      <c r="G29" s="161" t="n">
        <v>-439</v>
      </c>
      <c r="H29" s="162" t="inlineStr">
        <is>
          <t>❌ CHẶN ĐẶT HÀNG</t>
        </is>
      </c>
      <c r="I29" s="163" t="inlineStr">
        <is>
          <t>Vượt 439.0 m -&gt; QS bảo vệ khối lượng &amp; sửa BOQ</t>
        </is>
      </c>
    </row>
    <row r="30">
      <c r="A30" s="157" t="n">
        <v>6</v>
      </c>
      <c r="B30" s="158" t="inlineStr">
        <is>
          <t>DHKK-C-I.3.2.3</t>
        </is>
      </c>
      <c r="C30" s="159" t="inlineStr">
        <is>
          <t>Bảo ôn ống nước ngưng Ø42 dày 13mm</t>
        </is>
      </c>
      <c r="D30" s="157" t="inlineStr">
        <is>
          <t>m</t>
        </is>
      </c>
      <c r="E30" s="160" t="n">
        <v>4410</v>
      </c>
      <c r="F30" s="160" t="n">
        <v>4849</v>
      </c>
      <c r="G30" s="161" t="n">
        <v>-439</v>
      </c>
      <c r="H30" s="162" t="inlineStr">
        <is>
          <t>❌ CHẶN ĐẶT HÀNG</t>
        </is>
      </c>
      <c r="I30" s="163" t="inlineStr">
        <is>
          <t>Vượt 439.0 m -&gt; QS bảo vệ khối lượng &amp; sửa BOQ</t>
        </is>
      </c>
    </row>
    <row r="31">
      <c r="A31" s="157" t="n">
        <v>7</v>
      </c>
      <c r="B31" s="158" t="inlineStr">
        <is>
          <t>DHKK-D.I2.3.6</t>
        </is>
      </c>
      <c r="C31" s="159" t="inlineStr">
        <is>
          <t>Ống gió mềm không cách nhiệt D100</t>
        </is>
      </c>
      <c r="D31" s="157" t="inlineStr">
        <is>
          <t>m</t>
        </is>
      </c>
      <c r="E31" s="160" t="n">
        <v>2964</v>
      </c>
      <c r="F31" s="160" t="n">
        <v>3354</v>
      </c>
      <c r="G31" s="161" t="n">
        <v>-390</v>
      </c>
      <c r="H31" s="162" t="inlineStr">
        <is>
          <t>❌ CHẶN ĐẶT HÀNG</t>
        </is>
      </c>
      <c r="I31" s="163" t="inlineStr">
        <is>
          <t>Vượt 390.0 m -&gt; QS bảo vệ khối lượng &amp; sửa BOQ</t>
        </is>
      </c>
    </row>
    <row r="32">
      <c r="A32" s="157" t="n">
        <v>8</v>
      </c>
      <c r="B32" s="158" t="inlineStr">
        <is>
          <t>DHKK-C-III.3.1.0</t>
        </is>
      </c>
      <c r="C32" s="159" t="inlineStr">
        <is>
          <t>Ống gió tole mạ kẽm dày 0.95mm</t>
        </is>
      </c>
      <c r="D32" s="157" t="inlineStr">
        <is>
          <t>m2</t>
        </is>
      </c>
      <c r="E32" s="160" t="n">
        <v>418</v>
      </c>
      <c r="F32" s="160" t="n">
        <v>658</v>
      </c>
      <c r="G32" s="161" t="n">
        <v>-240</v>
      </c>
      <c r="H32" s="162" t="inlineStr">
        <is>
          <t>❌ CHẶN ĐẶT HÀNG</t>
        </is>
      </c>
      <c r="I32" s="163" t="inlineStr">
        <is>
          <t>Vượt 240.0 m2 -&gt; QS bảo vệ khối lượng &amp; sửa BOQ</t>
        </is>
      </c>
    </row>
    <row r="33">
      <c r="A33" s="157" t="n">
        <v>9</v>
      </c>
      <c r="B33" s="158" t="inlineStr">
        <is>
          <t>DHKK-B-IV1.3.2.1</t>
        </is>
      </c>
      <c r="C33" s="159" t="inlineStr">
        <is>
          <t>Bảo ôn ống nước ngưng Ø21 dày 9mm</t>
        </is>
      </c>
      <c r="D33" s="157" t="inlineStr">
        <is>
          <t>m</t>
        </is>
      </c>
      <c r="E33" s="160" t="n">
        <v>0</v>
      </c>
      <c r="F33" s="160" t="n">
        <v>212</v>
      </c>
      <c r="G33" s="161" t="n">
        <v>-212</v>
      </c>
      <c r="H33" s="162" t="inlineStr">
        <is>
          <t>❌ CHẶN ĐẶT HÀNG</t>
        </is>
      </c>
      <c r="I33" s="163" t="inlineStr">
        <is>
          <t>Vượt 212.0 m -&gt; QS bảo vệ khối lượng &amp; sửa BOQ</t>
        </is>
      </c>
    </row>
    <row r="34">
      <c r="A34" s="157" t="n">
        <v>10</v>
      </c>
      <c r="B34" s="158" t="inlineStr">
        <is>
          <t>DHKK-C-II.3.3.0</t>
        </is>
      </c>
      <c r="C34" s="159" t="inlineStr">
        <is>
          <t>Ống gió tole mạ kẽm dày 0.75mm</t>
        </is>
      </c>
      <c r="D34" s="157" t="inlineStr">
        <is>
          <t>m2</t>
        </is>
      </c>
      <c r="E34" s="160" t="n">
        <v>780</v>
      </c>
      <c r="F34" s="160" t="n">
        <v>948</v>
      </c>
      <c r="G34" s="161" t="n">
        <v>-168</v>
      </c>
      <c r="H34" s="162" t="inlineStr">
        <is>
          <t>❌ CHẶN ĐẶT HÀNG</t>
        </is>
      </c>
      <c r="I34" s="163" t="inlineStr">
        <is>
          <t>Vượt 168.0 m2 -&gt; QS bảo vệ khối lượng &amp; sửa BOQ</t>
        </is>
      </c>
    </row>
    <row r="35">
      <c r="A35" s="157" t="n">
        <v>11</v>
      </c>
      <c r="B35" s="158" t="inlineStr">
        <is>
          <t>DHKK-D.I2.3.0</t>
        </is>
      </c>
      <c r="C35" s="159" t="inlineStr">
        <is>
          <t>Ống gió tole mạ kẽm dày 0.58mm</t>
        </is>
      </c>
      <c r="D35" s="157" t="inlineStr">
        <is>
          <t>m2</t>
        </is>
      </c>
      <c r="E35" s="160" t="n">
        <v>197</v>
      </c>
      <c r="F35" s="160" t="n">
        <v>324</v>
      </c>
      <c r="G35" s="161" t="n">
        <v>-127</v>
      </c>
      <c r="H35" s="162" t="inlineStr">
        <is>
          <t>❌ CHẶN ĐẶT HÀNG</t>
        </is>
      </c>
      <c r="I35" s="163" t="inlineStr">
        <is>
          <t>Vượt 127.0 m2 -&gt; QS bảo vệ khối lượng &amp; sửa BOQ</t>
        </is>
      </c>
    </row>
    <row r="36">
      <c r="A36" s="157" t="n">
        <v>12</v>
      </c>
      <c r="B36" s="158" t="inlineStr">
        <is>
          <t>DHKK-D.I1.6.1</t>
        </is>
      </c>
      <c r="C36" s="159" t="inlineStr">
        <is>
          <t>4Cx1.5mm2 Cu/PVC</t>
        </is>
      </c>
      <c r="D36" s="157" t="inlineStr">
        <is>
          <t>m</t>
        </is>
      </c>
      <c r="E36" s="160" t="n">
        <v>19773</v>
      </c>
      <c r="F36" s="160" t="n">
        <v>19864</v>
      </c>
      <c r="G36" s="161" t="n">
        <v>-91</v>
      </c>
      <c r="H36" s="162" t="inlineStr">
        <is>
          <t>❌ CHẶN ĐẶT HÀNG</t>
        </is>
      </c>
      <c r="I36" s="163" t="inlineStr">
        <is>
          <t>Vượt 91.0 m -&gt; QS bảo vệ khối lượng &amp; sửa BOQ</t>
        </is>
      </c>
    </row>
    <row r="37">
      <c r="A37" s="157" t="n">
        <v>13</v>
      </c>
      <c r="B37" s="158" t="inlineStr">
        <is>
          <t>DHKK-D.I1.6.2</t>
        </is>
      </c>
      <c r="C37" s="159" t="inlineStr">
        <is>
          <t>1Cx1.5mm2 Cu/PVC Đỏ</t>
        </is>
      </c>
      <c r="D37" s="157" t="inlineStr">
        <is>
          <t>m</t>
        </is>
      </c>
      <c r="E37" s="160" t="n">
        <v>19773</v>
      </c>
      <c r="F37" s="160" t="n">
        <v>19864</v>
      </c>
      <c r="G37" s="161" t="n">
        <v>-91</v>
      </c>
      <c r="H37" s="162" t="inlineStr">
        <is>
          <t>❌ CHẶN ĐẶT HÀNG</t>
        </is>
      </c>
      <c r="I37" s="163" t="inlineStr">
        <is>
          <t>Vượt 91.0 m -&gt; QS bảo vệ khối lượng &amp; sửa BOQ</t>
        </is>
      </c>
    </row>
    <row r="38">
      <c r="A38" s="157" t="n">
        <v>14</v>
      </c>
      <c r="B38" s="158" t="inlineStr">
        <is>
          <t>DHKK-D.I1.6.3</t>
        </is>
      </c>
      <c r="C38" s="159" t="inlineStr">
        <is>
          <t>1Cx1.5mm2 Cu/PVC Đen</t>
        </is>
      </c>
      <c r="D38" s="157" t="inlineStr">
        <is>
          <t>m</t>
        </is>
      </c>
      <c r="E38" s="160" t="n">
        <v>19773</v>
      </c>
      <c r="F38" s="160" t="n">
        <v>19864</v>
      </c>
      <c r="G38" s="161" t="n">
        <v>-91</v>
      </c>
      <c r="H38" s="162" t="inlineStr">
        <is>
          <t>❌ CHẶN ĐẶT HÀNG</t>
        </is>
      </c>
      <c r="I38" s="163" t="inlineStr">
        <is>
          <t>Vượt 91.0 m -&gt; QS bảo vệ khối lượng &amp; sửa BOQ</t>
        </is>
      </c>
    </row>
    <row r="39">
      <c r="A39" s="157" t="n">
        <v>15</v>
      </c>
      <c r="B39" s="158" t="inlineStr">
        <is>
          <t>DHKK-D.I1.6.4</t>
        </is>
      </c>
      <c r="C39" s="159" t="inlineStr">
        <is>
          <t>1Cx1.5mm2 Cu/PVC Vàng</t>
        </is>
      </c>
      <c r="D39" s="157" t="inlineStr">
        <is>
          <t>m</t>
        </is>
      </c>
      <c r="E39" s="160" t="n">
        <v>19773</v>
      </c>
      <c r="F39" s="160" t="n">
        <v>19864</v>
      </c>
      <c r="G39" s="161" t="n">
        <v>-91</v>
      </c>
      <c r="H39" s="162" t="inlineStr">
        <is>
          <t>❌ CHẶN ĐẶT HÀNG</t>
        </is>
      </c>
      <c r="I39" s="163" t="inlineStr">
        <is>
          <t>Vượt 91.0 m -&gt; QS bảo vệ khối lượng &amp; sửa BOQ</t>
        </is>
      </c>
    </row>
    <row r="40">
      <c r="A40" s="157" t="n">
        <v>16</v>
      </c>
      <c r="B40" s="158" t="inlineStr">
        <is>
          <t>DHKK-D.I1.6.5</t>
        </is>
      </c>
      <c r="C40" s="159" t="inlineStr">
        <is>
          <t>1Cx1.5mm2 Cu/PVC Vàng sọc xanh</t>
        </is>
      </c>
      <c r="D40" s="157" t="inlineStr">
        <is>
          <t>m</t>
        </is>
      </c>
      <c r="E40" s="160" t="n">
        <v>19773</v>
      </c>
      <c r="F40" s="160" t="n">
        <v>19864</v>
      </c>
      <c r="G40" s="161" t="n">
        <v>-91</v>
      </c>
      <c r="H40" s="162" t="inlineStr">
        <is>
          <t>❌ CHẶN ĐẶT HÀNG</t>
        </is>
      </c>
      <c r="I40" s="163" t="inlineStr">
        <is>
          <t>Vượt 91.0 m -&gt; QS bảo vệ khối lượng &amp; sửa BOQ</t>
        </is>
      </c>
    </row>
    <row r="41">
      <c r="A41" s="157" t="n">
        <v>17</v>
      </c>
      <c r="B41" s="158" t="inlineStr">
        <is>
          <t>DHKK-B-I1.5.2.5</t>
        </is>
      </c>
      <c r="C41" s="159" t="inlineStr">
        <is>
          <t>Bảo ôn ống nước ngưng Ø90 dày 13mm</t>
        </is>
      </c>
      <c r="D41" s="157" t="inlineStr">
        <is>
          <t>m</t>
        </is>
      </c>
      <c r="E41" s="160" t="n">
        <v>77</v>
      </c>
      <c r="F41" s="160" t="n">
        <v>126</v>
      </c>
      <c r="G41" s="161" t="n">
        <v>-49</v>
      </c>
      <c r="H41" s="162" t="inlineStr">
        <is>
          <t>❌ CHẶN ĐẶT HÀNG</t>
        </is>
      </c>
      <c r="I41" s="163" t="inlineStr">
        <is>
          <t>Vượt 49.0 m -&gt; QS bảo vệ khối lượng &amp; sửa BOQ</t>
        </is>
      </c>
    </row>
    <row r="42">
      <c r="A42" s="157" t="n">
        <v>18</v>
      </c>
      <c r="B42" s="158" t="inlineStr">
        <is>
          <t>DHKK-B-I1.5.2.3</t>
        </is>
      </c>
      <c r="C42" s="159" t="inlineStr">
        <is>
          <t>Bảo ôn ống nước ngưng Ø42 dày 13mm</t>
        </is>
      </c>
      <c r="D42" s="157" t="inlineStr">
        <is>
          <t>m</t>
        </is>
      </c>
      <c r="E42" s="160" t="n">
        <v>245</v>
      </c>
      <c r="F42" s="160" t="n">
        <v>278</v>
      </c>
      <c r="G42" s="161" t="n">
        <v>-33</v>
      </c>
      <c r="H42" s="162" t="inlineStr">
        <is>
          <t>❌ CHẶN ĐẶT HÀNG</t>
        </is>
      </c>
      <c r="I42" s="163" t="inlineStr">
        <is>
          <t>Vượt 33.0 m -&gt; QS bảo vệ khối lượng &amp; sửa BOQ</t>
        </is>
      </c>
    </row>
    <row r="43">
      <c r="A43" s="157" t="n">
        <v>19</v>
      </c>
      <c r="B43" s="158" t="inlineStr">
        <is>
          <t>DHKK-B-I1.5.2.4</t>
        </is>
      </c>
      <c r="C43" s="159" t="inlineStr">
        <is>
          <t>Bảo ôn ống nước ngưng Ø60 dày 13mm</t>
        </is>
      </c>
      <c r="D43" s="157" t="inlineStr">
        <is>
          <t>m</t>
        </is>
      </c>
      <c r="E43" s="160" t="n">
        <v>0</v>
      </c>
      <c r="F43" s="160" t="n">
        <v>16</v>
      </c>
      <c r="G43" s="161" t="n">
        <v>-16</v>
      </c>
      <c r="H43" s="162" t="inlineStr">
        <is>
          <t>❌ CHẶN ĐẶT HÀNG</t>
        </is>
      </c>
      <c r="I43" s="163" t="inlineStr">
        <is>
          <t>Vượt 16.0 m -&gt; QS bảo vệ khối lượng &amp; sửa BOQ</t>
        </is>
      </c>
    </row>
    <row r="44">
      <c r="A44" s="157" t="n">
        <v>20</v>
      </c>
      <c r="B44" s="158" t="inlineStr">
        <is>
          <t>DHKK-B-I2.3.1.2</t>
        </is>
      </c>
      <c r="C44" s="159" t="inlineStr">
        <is>
          <t>Ống thoát nước ngưng uPVC Ø34</t>
        </is>
      </c>
      <c r="D44" s="157" t="inlineStr">
        <is>
          <t>m</t>
        </is>
      </c>
      <c r="E44" s="160" t="n">
        <v>0</v>
      </c>
      <c r="F44" s="160" t="n">
        <v>16</v>
      </c>
      <c r="G44" s="161" t="n">
        <v>-16</v>
      </c>
      <c r="H44" s="162" t="inlineStr">
        <is>
          <t>❌ CHẶN ĐẶT HÀNG</t>
        </is>
      </c>
      <c r="I44" s="163" t="inlineStr">
        <is>
          <t>Vượt 16.0 m -&gt; QS bảo vệ khối lượng &amp; sửa BOQ</t>
        </is>
      </c>
    </row>
    <row r="45">
      <c r="A45" s="157" t="n">
        <v>21</v>
      </c>
      <c r="B45" s="158" t="inlineStr">
        <is>
          <t>DHKK-B-I2.3.2.2</t>
        </is>
      </c>
      <c r="C45" s="159" t="inlineStr">
        <is>
          <t>Bảo ôn ống nước ngưng Ø34 dày 13mm</t>
        </is>
      </c>
      <c r="D45" s="157" t="inlineStr">
        <is>
          <t>m</t>
        </is>
      </c>
      <c r="E45" s="160" t="n">
        <v>0</v>
      </c>
      <c r="F45" s="160" t="n">
        <v>16</v>
      </c>
      <c r="G45" s="161" t="n">
        <v>-16</v>
      </c>
      <c r="H45" s="162" t="inlineStr">
        <is>
          <t>❌ CHẶN ĐẶT HÀNG</t>
        </is>
      </c>
      <c r="I45" s="163" t="inlineStr">
        <is>
          <t>Vượt 16.0 m -&gt; QS bảo vệ khối lượng &amp; sửa BOQ</t>
        </is>
      </c>
    </row>
    <row r="46">
      <c r="A46" s="157" t="n">
        <v>22</v>
      </c>
      <c r="B46" s="158" t="inlineStr">
        <is>
          <t>DHKK-B-I2.3.1.1</t>
        </is>
      </c>
      <c r="C46" s="159" t="inlineStr">
        <is>
          <t>Ống thoát nước ngưng uPVC Ø27</t>
        </is>
      </c>
      <c r="D46" s="157" t="inlineStr">
        <is>
          <t>m</t>
        </is>
      </c>
      <c r="E46" s="160" t="n">
        <v>101</v>
      </c>
      <c r="F46" s="160" t="n">
        <v>115</v>
      </c>
      <c r="G46" s="161" t="n">
        <v>-14</v>
      </c>
      <c r="H46" s="162" t="inlineStr">
        <is>
          <t>❌ CHẶN ĐẶT HÀNG</t>
        </is>
      </c>
      <c r="I46" s="163" t="inlineStr">
        <is>
          <t>Vượt 14.0 m -&gt; QS bảo vệ khối lượng &amp; sửa BOQ</t>
        </is>
      </c>
    </row>
    <row r="47">
      <c r="A47" s="157" t="n">
        <v>23</v>
      </c>
      <c r="B47" s="158" t="inlineStr">
        <is>
          <t>DHKK-B-I2.3.2.1</t>
        </is>
      </c>
      <c r="C47" s="159" t="inlineStr">
        <is>
          <t>Bảo ôn ống nước ngưng Ø27 dày 13mm</t>
        </is>
      </c>
      <c r="D47" s="157" t="inlineStr">
        <is>
          <t>m</t>
        </is>
      </c>
      <c r="E47" s="160" t="n">
        <v>101</v>
      </c>
      <c r="F47" s="160" t="n">
        <v>115</v>
      </c>
      <c r="G47" s="161" t="n">
        <v>-14</v>
      </c>
      <c r="H47" s="162" t="inlineStr">
        <is>
          <t>❌ CHẶN ĐẶT HÀNG</t>
        </is>
      </c>
      <c r="I47" s="163" t="inlineStr">
        <is>
          <t>Vượt 14.0 m -&gt; QS bảo vệ khối lượng &amp; sửa BOQ</t>
        </is>
      </c>
    </row>
    <row r="48">
      <c r="A48" s="157" t="n">
        <v>24</v>
      </c>
      <c r="B48" s="158" t="inlineStr">
        <is>
          <t>DHKK-D.I3.1.4</t>
        </is>
      </c>
      <c r="C48" s="159" t="inlineStr">
        <is>
          <t>Miệng louver EAL 300x150 + ISC</t>
        </is>
      </c>
      <c r="D48" s="157" t="inlineStr">
        <is>
          <t>Cái</t>
        </is>
      </c>
      <c r="E48" s="160" t="n">
        <v>325</v>
      </c>
      <c r="F48" s="160" t="n">
        <v>338</v>
      </c>
      <c r="G48" s="161" t="n">
        <v>-13</v>
      </c>
      <c r="H48" s="162" t="inlineStr">
        <is>
          <t>❌ CHẶN ĐẶT HÀNG</t>
        </is>
      </c>
      <c r="I48" s="163" t="inlineStr">
        <is>
          <t>Vượt 13.0 Cái -&gt; QS bảo vệ khối lượng &amp; sửa BOQ</t>
        </is>
      </c>
    </row>
  </sheetData>
  <mergeCells count="7">
    <mergeCell ref="C16:E16"/>
    <mergeCell ref="C19:E19"/>
    <mergeCell ref="C18:E18"/>
    <mergeCell ref="C17:E17"/>
    <mergeCell ref="B2:E2"/>
    <mergeCell ref="C20:E20"/>
    <mergeCell ref="C15:E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style="75" min="1" max="1"/>
    <col width="8" customWidth="1" style="75" min="2" max="2"/>
    <col width="50" customWidth="1" style="75" min="3" max="3"/>
    <col width="14" customWidth="1" style="75" min="4" max="4"/>
    <col width="10" customWidth="1" style="75" min="5" max="5"/>
    <col width="18" customWidth="1" style="75" min="6" max="6"/>
    <col width="20" customWidth="1" style="75" min="7" max="7"/>
    <col width="22" customWidth="1" style="75" min="8" max="8"/>
    <col width="18" customWidth="1" style="75" min="9" max="9"/>
    <col width="30" customWidth="1" style="75" min="10" max="10"/>
    <col width="45" customWidth="1" style="75" min="11" max="11"/>
  </cols>
  <sheetData>
    <row r="1">
      <c r="B1" s="173" t="inlineStr">
        <is>
          <t>DỰ ÁN: [TÊN DỰ ÁN MỚI]</t>
        </is>
      </c>
    </row>
    <row r="2">
      <c r="B2" s="122" t="inlineStr">
        <is>
          <t>ĐỊA ĐIỂM: [ĐỊA CHỈ DỰ ÁN]</t>
        </is>
      </c>
    </row>
    <row r="3">
      <c r="B3" s="122" t="inlineStr">
        <is>
          <t>GÓI THẦU: [TÊN GÓI THẦU / HẠNG MỤC]</t>
        </is>
      </c>
    </row>
    <row r="4">
      <c r="B4" s="174" t="inlineStr">
        <is>
          <t>BIỂU MẪU: QUẢN LÝ KHỐI LƯỢNG BOQ &amp; ĐỊNH MỨC BÓC TÁCH BẢN VẼ</t>
        </is>
      </c>
    </row>
    <row r="6" ht="36" customHeight="1" s="75">
      <c r="A6" s="175" t="inlineStr">
        <is>
          <t>Mã BOQ
(Duy nhất)</t>
        </is>
      </c>
      <c r="B6" s="176" t="inlineStr">
        <is>
          <t>STT</t>
        </is>
      </c>
      <c r="C6" s="176" t="inlineStr">
        <is>
          <t>MÔ TẢ CÔNG TÁC / VẬT TƯ</t>
        </is>
      </c>
      <c r="D6" s="176" t="inlineStr">
        <is>
          <t>Mã/ Quy cách</t>
        </is>
      </c>
      <c r="E6" s="176" t="inlineStr">
        <is>
          <t>Đơn vị</t>
        </is>
      </c>
      <c r="F6" s="176" t="inlineStr">
        <is>
          <t>KHỐI LƯỢNG BOQ
(Dự toán HĐ)</t>
        </is>
      </c>
      <c r="G6" s="177" t="inlineStr">
        <is>
          <t>KHỐI LƯỢNG ĐỊNH MỨC
(Bản vẽ thi công)</t>
        </is>
      </c>
      <c r="H6" s="178" t="inlineStr">
        <is>
          <t>CHÊNH LỆCH ĐỊNH MỨC
(= BOQ - Định mức)</t>
        </is>
      </c>
      <c r="I6" s="176" t="inlineStr">
        <is>
          <t>GHI CHÚ KỸ THUẬT</t>
        </is>
      </c>
      <c r="J6" s="179" t="inlineStr">
        <is>
          <t>KIỂM SOÁT ĐẶT HÀNG
(QS DUYỆT)</t>
        </is>
      </c>
      <c r="K6" s="180" t="inlineStr">
        <is>
          <t>GỢI Ý HÀNH ĐỘNG / ĐIỀU KIỆN</t>
        </is>
      </c>
    </row>
    <row r="7">
      <c r="A7" s="165" t="inlineStr">
        <is>
          <t>MEP-01</t>
        </is>
      </c>
      <c r="B7" s="165" t="inlineStr">
        <is>
          <t>I</t>
        </is>
      </c>
      <c r="C7" s="165" t="inlineStr">
        <is>
          <t>HỆ THỐNG CƠ ĐIỆN MẪU (VÍ DỤ)</t>
        </is>
      </c>
      <c r="D7" s="181" t="n"/>
      <c r="E7" s="170" t="n"/>
      <c r="F7" s="181" t="n"/>
      <c r="G7" s="181" t="n"/>
      <c r="H7" s="181" t="n"/>
      <c r="I7" s="181" t="n"/>
      <c r="J7" s="181" t="n"/>
      <c r="K7" s="181" t="n"/>
    </row>
    <row r="8">
      <c r="A8" s="165" t="inlineStr">
        <is>
          <t>MEP-01.1</t>
        </is>
      </c>
      <c r="B8" s="165" t="inlineStr">
        <is>
          <t>1</t>
        </is>
      </c>
      <c r="C8" s="165" t="inlineStr">
        <is>
          <t>Thiết bị chính / Phụ kiện mẫu</t>
        </is>
      </c>
      <c r="D8" s="181" t="n"/>
      <c r="E8" s="165" t="inlineStr">
        <is>
          <t>Bộ</t>
        </is>
      </c>
      <c r="F8" s="181" t="n"/>
      <c r="G8" s="181" t="n"/>
      <c r="H8" s="181" t="n"/>
      <c r="I8" s="181" t="n"/>
      <c r="J8" s="181" t="n"/>
      <c r="K8" s="181" t="n"/>
    </row>
    <row r="9">
      <c r="A9" s="182" t="inlineStr">
        <is>
          <t>MA-BOQ-001</t>
        </is>
      </c>
      <c r="B9" s="182" t="n">
        <v>1</v>
      </c>
      <c r="C9" s="181" t="inlineStr">
        <is>
          <t>[Nhập tên vật tư / thiết bị mẫu 1]</t>
        </is>
      </c>
      <c r="D9" s="181" t="inlineStr">
        <is>
          <t>Cái</t>
        </is>
      </c>
      <c r="E9" s="182" t="inlineStr">
        <is>
          <t>Cái</t>
        </is>
      </c>
      <c r="F9" s="183" t="n"/>
      <c r="G9" s="183" t="n"/>
      <c r="H9" s="184">
        <f>IF(OR(ISNUMBER(F9),ISNUMBER(G9)),N(F9)-N(G9),"")</f>
        <v/>
      </c>
      <c r="I9" s="181" t="n"/>
      <c r="J9" s="182">
        <f>IF(OR(ISNUMBER(F9),ISNUMBER(G9)),IF(ISBLANK(G9),"⚠️ Chưa bóc tách định mức",IF(H9&gt;=0,"✅ OK - Cho phép đặt hàng","❌ CHẶN ĐẶT HÀNG - CẦN BẢO VỆ KL")),"")</f>
        <v/>
      </c>
      <c r="K9" s="181">
        <f>IF(OR(ISNUMBER(F9),ISNUMBER(G9)),IF(ISBLANK(G9),"Kỹ sư/Thầu phụ cần bóc tách KL bản vẽ",IF(H9&gt;=0,"Được đặt hàng tối đa "&amp;G9&amp;" "&amp;E9,"Vượt dự toán "&amp;ABS(H9)&amp;" "&amp;E9&amp;" (QS giải trình &amp; duyệt sửa BOQ)")),"")</f>
        <v/>
      </c>
    </row>
    <row r="10">
      <c r="A10" s="182" t="inlineStr">
        <is>
          <t>MA-BOQ-002</t>
        </is>
      </c>
      <c r="B10" s="182" t="n">
        <v>2</v>
      </c>
      <c r="C10" s="181" t="inlineStr">
        <is>
          <t>[Nhập tên vật tư / thiết bị mẫu 2]</t>
        </is>
      </c>
      <c r="D10" s="181" t="inlineStr">
        <is>
          <t>Cái</t>
        </is>
      </c>
      <c r="E10" s="182" t="inlineStr">
        <is>
          <t>Cái</t>
        </is>
      </c>
      <c r="F10" s="183" t="n"/>
      <c r="G10" s="183" t="n"/>
      <c r="H10" s="184">
        <f>IF(OR(ISNUMBER(F10),ISNUMBER(G10)),N(F10)-N(G10),"")</f>
        <v/>
      </c>
      <c r="I10" s="181" t="n"/>
      <c r="J10" s="182">
        <f>IF(OR(ISNUMBER(F10),ISNUMBER(G10)),IF(ISBLANK(G10),"⚠️ Chưa bóc tách định mức",IF(H10&gt;=0,"✅ OK - Cho phép đặt hàng","❌ CHẶN ĐẶT HÀNG - CẦN BẢO VỆ KL")),"")</f>
        <v/>
      </c>
      <c r="K10" s="181">
        <f>IF(OR(ISNUMBER(F10),ISNUMBER(G10)),IF(ISBLANK(G10),"Kỹ sư/Thầu phụ cần bóc tách KL bản vẽ",IF(H10&gt;=0,"Được đặt hàng tối đa "&amp;G10&amp;" "&amp;E10,"Vượt dự toán "&amp;ABS(H10)&amp;" "&amp;E10&amp;" (QS giải trình &amp; duyệt sửa BOQ)")),"")</f>
        <v/>
      </c>
    </row>
    <row r="11">
      <c r="A11" s="182" t="inlineStr">
        <is>
          <t>MA-BOQ-003</t>
        </is>
      </c>
      <c r="B11" s="182" t="n">
        <v>3</v>
      </c>
      <c r="C11" s="181" t="inlineStr">
        <is>
          <t>[Nhập tên vật tư / thiết bị mẫu 3]</t>
        </is>
      </c>
      <c r="D11" s="181" t="inlineStr">
        <is>
          <t>Cái</t>
        </is>
      </c>
      <c r="E11" s="182" t="inlineStr">
        <is>
          <t>Cái</t>
        </is>
      </c>
      <c r="F11" s="183" t="n"/>
      <c r="G11" s="183" t="n"/>
      <c r="H11" s="184">
        <f>IF(OR(ISNUMBER(F11),ISNUMBER(G11)),N(F11)-N(G11),"")</f>
        <v/>
      </c>
      <c r="I11" s="181" t="n"/>
      <c r="J11" s="182">
        <f>IF(OR(ISNUMBER(F11),ISNUMBER(G11)),IF(ISBLANK(G11),"⚠️ Chưa bóc tách định mức",IF(H11&gt;=0,"✅ OK - Cho phép đặt hàng","❌ CHẶN ĐẶT HÀNG - CẦN BẢO VỆ KL")),"")</f>
        <v/>
      </c>
      <c r="K11" s="181">
        <f>IF(OR(ISNUMBER(F11),ISNUMBER(G11)),IF(ISBLANK(G11),"Kỹ sư/Thầu phụ cần bóc tách KL bản vẽ",IF(H11&gt;=0,"Được đặt hàng tối đa "&amp;G11&amp;" "&amp;E11,"Vượt dự toán "&amp;ABS(H11)&amp;" "&amp;E11&amp;" (QS giải trình &amp; duyệt sửa BOQ)")),"")</f>
        <v/>
      </c>
    </row>
    <row r="12">
      <c r="A12" s="182" t="inlineStr">
        <is>
          <t>MA-BOQ-004</t>
        </is>
      </c>
      <c r="B12" s="182" t="n">
        <v>4</v>
      </c>
      <c r="C12" s="181" t="inlineStr">
        <is>
          <t>[Nhập tên vật tư / thiết bị mẫu 4]</t>
        </is>
      </c>
      <c r="D12" s="181" t="inlineStr">
        <is>
          <t>Cái</t>
        </is>
      </c>
      <c r="E12" s="182" t="inlineStr">
        <is>
          <t>Cái</t>
        </is>
      </c>
      <c r="F12" s="183" t="n"/>
      <c r="G12" s="183" t="n"/>
      <c r="H12" s="184">
        <f>IF(OR(ISNUMBER(F12),ISNUMBER(G12)),N(F12)-N(G12),"")</f>
        <v/>
      </c>
      <c r="I12" s="181" t="n"/>
      <c r="J12" s="182">
        <f>IF(OR(ISNUMBER(F12),ISNUMBER(G12)),IF(ISBLANK(G12),"⚠️ Chưa bóc tách định mức",IF(H12&gt;=0,"✅ OK - Cho phép đặt hàng","❌ CHẶN ĐẶT HÀNG - CẦN BẢO VỆ KL")),"")</f>
        <v/>
      </c>
      <c r="K12" s="181">
        <f>IF(OR(ISNUMBER(F12),ISNUMBER(G12)),IF(ISBLANK(G12),"Kỹ sư/Thầu phụ cần bóc tách KL bản vẽ",IF(H12&gt;=0,"Được đặt hàng tối đa "&amp;G12&amp;" "&amp;E12,"Vượt dự toán "&amp;ABS(H12)&amp;" "&amp;E12&amp;" (QS giải trình &amp; duyệt sửa BOQ)")),"")</f>
        <v/>
      </c>
    </row>
    <row r="13">
      <c r="A13" s="182" t="inlineStr">
        <is>
          <t>MA-BOQ-005</t>
        </is>
      </c>
      <c r="B13" s="182" t="n">
        <v>5</v>
      </c>
      <c r="C13" s="181" t="inlineStr">
        <is>
          <t>[Nhập tên vật tư / thiết bị mẫu 5]</t>
        </is>
      </c>
      <c r="D13" s="181" t="inlineStr">
        <is>
          <t>Cái</t>
        </is>
      </c>
      <c r="E13" s="182" t="inlineStr">
        <is>
          <t>Cái</t>
        </is>
      </c>
      <c r="F13" s="183" t="n"/>
      <c r="G13" s="183" t="n"/>
      <c r="H13" s="184">
        <f>IF(OR(ISNUMBER(F13),ISNUMBER(G13)),N(F13)-N(G13),"")</f>
        <v/>
      </c>
      <c r="I13" s="181" t="n"/>
      <c r="J13" s="182">
        <f>IF(OR(ISNUMBER(F13),ISNUMBER(G13)),IF(ISBLANK(G13),"⚠️ Chưa bóc tách định mức",IF(H13&gt;=0,"✅ OK - Cho phép đặt hàng","❌ CHẶN ĐẶT HÀNG - CẦN BẢO VỆ KL")),"")</f>
        <v/>
      </c>
      <c r="K13" s="181">
        <f>IF(OR(ISNUMBER(F13),ISNUMBER(G13)),IF(ISBLANK(G13),"Kỹ sư/Thầu phụ cần bóc tách KL bản vẽ",IF(H13&gt;=0,"Được đặt hàng tối đa "&amp;G13&amp;" "&amp;E13,"Vượt dự toán "&amp;ABS(H13)&amp;" "&amp;E13&amp;" (QS giải trình &amp; duyệt sửa BOQ)")),"")</f>
        <v/>
      </c>
    </row>
    <row r="14">
      <c r="A14" s="182" t="inlineStr">
        <is>
          <t>MA-BOQ-006</t>
        </is>
      </c>
      <c r="B14" s="182" t="n">
        <v>6</v>
      </c>
      <c r="C14" s="181" t="inlineStr">
        <is>
          <t>[Nhập tên vật tư / thiết bị mẫu 6]</t>
        </is>
      </c>
      <c r="D14" s="181" t="inlineStr">
        <is>
          <t>Cái</t>
        </is>
      </c>
      <c r="E14" s="182" t="inlineStr">
        <is>
          <t>Cái</t>
        </is>
      </c>
      <c r="F14" s="183" t="n"/>
      <c r="G14" s="183" t="n"/>
      <c r="H14" s="184">
        <f>IF(OR(ISNUMBER(F14),ISNUMBER(G14)),N(F14)-N(G14),"")</f>
        <v/>
      </c>
      <c r="I14" s="181" t="n"/>
      <c r="J14" s="182">
        <f>IF(OR(ISNUMBER(F14),ISNUMBER(G14)),IF(ISBLANK(G14),"⚠️ Chưa bóc tách định mức",IF(H14&gt;=0,"✅ OK - Cho phép đặt hàng","❌ CHẶN ĐẶT HÀNG - CẦN BẢO VỆ KL")),"")</f>
        <v/>
      </c>
      <c r="K14" s="181">
        <f>IF(OR(ISNUMBER(F14),ISNUMBER(G14)),IF(ISBLANK(G14),"Kỹ sư/Thầu phụ cần bóc tách KL bản vẽ",IF(H14&gt;=0,"Được đặt hàng tối đa "&amp;G14&amp;" "&amp;E14,"Vượt dự toán "&amp;ABS(H14)&amp;" "&amp;E14&amp;" (QS giải trình &amp; duyệt sửa BOQ)")),"")</f>
        <v/>
      </c>
    </row>
    <row r="15">
      <c r="A15" s="182" t="inlineStr">
        <is>
          <t>MA-BOQ-007</t>
        </is>
      </c>
      <c r="B15" s="182" t="n">
        <v>7</v>
      </c>
      <c r="C15" s="181" t="inlineStr">
        <is>
          <t>[Nhập tên vật tư / thiết bị mẫu 7]</t>
        </is>
      </c>
      <c r="D15" s="181" t="inlineStr">
        <is>
          <t>Cái</t>
        </is>
      </c>
      <c r="E15" s="182" t="inlineStr">
        <is>
          <t>Cái</t>
        </is>
      </c>
      <c r="F15" s="183" t="n"/>
      <c r="G15" s="183" t="n"/>
      <c r="H15" s="184">
        <f>IF(OR(ISNUMBER(F15),ISNUMBER(G15)),N(F15)-N(G15),"")</f>
        <v/>
      </c>
      <c r="I15" s="181" t="n"/>
      <c r="J15" s="182">
        <f>IF(OR(ISNUMBER(F15),ISNUMBER(G15)),IF(ISBLANK(G15),"⚠️ Chưa bóc tách định mức",IF(H15&gt;=0,"✅ OK - Cho phép đặt hàng","❌ CHẶN ĐẶT HÀNG - CẦN BẢO VỆ KL")),"")</f>
        <v/>
      </c>
      <c r="K15" s="181">
        <f>IF(OR(ISNUMBER(F15),ISNUMBER(G15)),IF(ISBLANK(G15),"Kỹ sư/Thầu phụ cần bóc tách KL bản vẽ",IF(H15&gt;=0,"Được đặt hàng tối đa "&amp;G15&amp;" "&amp;E15,"Vượt dự toán "&amp;ABS(H15)&amp;" "&amp;E15&amp;" (QS giải trình &amp; duyệt sửa BOQ)")),"")</f>
        <v/>
      </c>
    </row>
    <row r="16">
      <c r="A16" s="182" t="inlineStr">
        <is>
          <t>MA-BOQ-008</t>
        </is>
      </c>
      <c r="B16" s="182" t="n">
        <v>8</v>
      </c>
      <c r="C16" s="181" t="inlineStr">
        <is>
          <t>[Nhập tên vật tư / thiết bị mẫu 8]</t>
        </is>
      </c>
      <c r="D16" s="181" t="inlineStr">
        <is>
          <t>Cái</t>
        </is>
      </c>
      <c r="E16" s="182" t="inlineStr">
        <is>
          <t>Cái</t>
        </is>
      </c>
      <c r="F16" s="183" t="n"/>
      <c r="G16" s="183" t="n"/>
      <c r="H16" s="184">
        <f>IF(OR(ISNUMBER(F16),ISNUMBER(G16)),N(F16)-N(G16),"")</f>
        <v/>
      </c>
      <c r="I16" s="181" t="n"/>
      <c r="J16" s="182">
        <f>IF(OR(ISNUMBER(F16),ISNUMBER(G16)),IF(ISBLANK(G16),"⚠️ Chưa bóc tách định mức",IF(H16&gt;=0,"✅ OK - Cho phép đặt hàng","❌ CHẶN ĐẶT HÀNG - CẦN BẢO VỆ KL")),"")</f>
        <v/>
      </c>
      <c r="K16" s="181">
        <f>IF(OR(ISNUMBER(F16),ISNUMBER(G16)),IF(ISBLANK(G16),"Kỹ sư/Thầu phụ cần bóc tách KL bản vẽ",IF(H16&gt;=0,"Được đặt hàng tối đa "&amp;G16&amp;" "&amp;E16,"Vượt dự toán "&amp;ABS(H16)&amp;" "&amp;E16&amp;" (QS giải trình &amp; duyệt sửa BOQ)")),"")</f>
        <v/>
      </c>
    </row>
    <row r="17">
      <c r="A17" s="182" t="inlineStr">
        <is>
          <t>MA-BOQ-009</t>
        </is>
      </c>
      <c r="B17" s="182" t="n">
        <v>9</v>
      </c>
      <c r="C17" s="181" t="inlineStr">
        <is>
          <t>[Nhập tên vật tư / thiết bị mẫu 9]</t>
        </is>
      </c>
      <c r="D17" s="181" t="inlineStr">
        <is>
          <t>Cái</t>
        </is>
      </c>
      <c r="E17" s="182" t="inlineStr">
        <is>
          <t>Cái</t>
        </is>
      </c>
      <c r="F17" s="183" t="n"/>
      <c r="G17" s="183" t="n"/>
      <c r="H17" s="184">
        <f>IF(OR(ISNUMBER(F17),ISNUMBER(G17)),N(F17)-N(G17),"")</f>
        <v/>
      </c>
      <c r="I17" s="181" t="n"/>
      <c r="J17" s="182">
        <f>IF(OR(ISNUMBER(F17),ISNUMBER(G17)),IF(ISBLANK(G17),"⚠️ Chưa bóc tách định mức",IF(H17&gt;=0,"✅ OK - Cho phép đặt hàng","❌ CHẶN ĐẶT HÀNG - CẦN BẢO VỆ KL")),"")</f>
        <v/>
      </c>
      <c r="K17" s="181">
        <f>IF(OR(ISNUMBER(F17),ISNUMBER(G17)),IF(ISBLANK(G17),"Kỹ sư/Thầu phụ cần bóc tách KL bản vẽ",IF(H17&gt;=0,"Được đặt hàng tối đa "&amp;G17&amp;" "&amp;E17,"Vượt dự toán "&amp;ABS(H17)&amp;" "&amp;E17&amp;" (QS giải trình &amp; duyệt sửa BOQ)")),"")</f>
        <v/>
      </c>
    </row>
    <row r="18">
      <c r="A18" s="182" t="inlineStr">
        <is>
          <t>MA-BOQ-010</t>
        </is>
      </c>
      <c r="B18" s="182" t="n">
        <v>10</v>
      </c>
      <c r="C18" s="181" t="inlineStr">
        <is>
          <t>[Nhập tên vật tư / thiết bị mẫu 10]</t>
        </is>
      </c>
      <c r="D18" s="181" t="inlineStr">
        <is>
          <t>Cái</t>
        </is>
      </c>
      <c r="E18" s="182" t="inlineStr">
        <is>
          <t>Cái</t>
        </is>
      </c>
      <c r="F18" s="183" t="n"/>
      <c r="G18" s="183" t="n"/>
      <c r="H18" s="184">
        <f>IF(OR(ISNUMBER(F18),ISNUMBER(G18)),N(F18)-N(G18),"")</f>
        <v/>
      </c>
      <c r="I18" s="181" t="n"/>
      <c r="J18" s="182">
        <f>IF(OR(ISNUMBER(F18),ISNUMBER(G18)),IF(ISBLANK(G18),"⚠️ Chưa bóc tách định mức",IF(H18&gt;=0,"✅ OK - Cho phép đặt hàng","❌ CHẶN ĐẶT HÀNG - CẦN BẢO VỆ KL")),"")</f>
        <v/>
      </c>
      <c r="K18" s="181">
        <f>IF(OR(ISNUMBER(F18),ISNUMBER(G18)),IF(ISBLANK(G18),"Kỹ sư/Thầu phụ cần bóc tách KL bản vẽ",IF(H18&gt;=0,"Được đặt hàng tối đa "&amp;G18&amp;" "&amp;E18,"Vượt dự toán "&amp;ABS(H18)&amp;" "&amp;E18&amp;" (QS giải trình &amp; duyệt sửa BOQ)")),"")</f>
        <v/>
      </c>
    </row>
    <row r="19">
      <c r="A19" s="182" t="inlineStr">
        <is>
          <t>MA-BOQ-011</t>
        </is>
      </c>
      <c r="B19" s="182" t="n">
        <v>11</v>
      </c>
      <c r="C19" s="181" t="inlineStr">
        <is>
          <t>[Nhập tên vật tư / thiết bị mẫu 11]</t>
        </is>
      </c>
      <c r="D19" s="181" t="inlineStr">
        <is>
          <t>Cái</t>
        </is>
      </c>
      <c r="E19" s="182" t="inlineStr">
        <is>
          <t>Cái</t>
        </is>
      </c>
      <c r="F19" s="183" t="n"/>
      <c r="G19" s="183" t="n"/>
      <c r="H19" s="184">
        <f>IF(OR(ISNUMBER(F19),ISNUMBER(G19)),N(F19)-N(G19),"")</f>
        <v/>
      </c>
      <c r="I19" s="181" t="n"/>
      <c r="J19" s="182">
        <f>IF(OR(ISNUMBER(F19),ISNUMBER(G19)),IF(ISBLANK(G19),"⚠️ Chưa bóc tách định mức",IF(H19&gt;=0,"✅ OK - Cho phép đặt hàng","❌ CHẶN ĐẶT HÀNG - CẦN BẢO VỆ KL")),"")</f>
        <v/>
      </c>
      <c r="K19" s="181">
        <f>IF(OR(ISNUMBER(F19),ISNUMBER(G19)),IF(ISBLANK(G19),"Kỹ sư/Thầu phụ cần bóc tách KL bản vẽ",IF(H19&gt;=0,"Được đặt hàng tối đa "&amp;G19&amp;" "&amp;E19,"Vượt dự toán "&amp;ABS(H19)&amp;" "&amp;E19&amp;" (QS giải trình &amp; duyệt sửa BOQ)")),"")</f>
        <v/>
      </c>
    </row>
    <row r="20">
      <c r="A20" s="182" t="inlineStr">
        <is>
          <t>MA-BOQ-012</t>
        </is>
      </c>
      <c r="B20" s="182" t="n">
        <v>12</v>
      </c>
      <c r="C20" s="181" t="inlineStr">
        <is>
          <t>[Nhập tên vật tư / thiết bị mẫu 12]</t>
        </is>
      </c>
      <c r="D20" s="181" t="inlineStr">
        <is>
          <t>Cái</t>
        </is>
      </c>
      <c r="E20" s="182" t="inlineStr">
        <is>
          <t>Cái</t>
        </is>
      </c>
      <c r="F20" s="183" t="n"/>
      <c r="G20" s="183" t="n"/>
      <c r="H20" s="184">
        <f>IF(OR(ISNUMBER(F20),ISNUMBER(G20)),N(F20)-N(G20),"")</f>
        <v/>
      </c>
      <c r="I20" s="181" t="n"/>
      <c r="J20" s="182">
        <f>IF(OR(ISNUMBER(F20),ISNUMBER(G20)),IF(ISBLANK(G20),"⚠️ Chưa bóc tách định mức",IF(H20&gt;=0,"✅ OK - Cho phép đặt hàng","❌ CHẶN ĐẶT HÀNG - CẦN BẢO VỆ KL")),"")</f>
        <v/>
      </c>
      <c r="K20" s="181">
        <f>IF(OR(ISNUMBER(F20),ISNUMBER(G20)),IF(ISBLANK(G20),"Kỹ sư/Thầu phụ cần bóc tách KL bản vẽ",IF(H20&gt;=0,"Được đặt hàng tối đa "&amp;G20&amp;" "&amp;E20,"Vượt dự toán "&amp;ABS(H20)&amp;" "&amp;E20&amp;" (QS giải trình &amp; duyệt sửa BOQ)")),"")</f>
        <v/>
      </c>
    </row>
    <row r="21">
      <c r="A21" s="182" t="inlineStr">
        <is>
          <t>MA-BOQ-013</t>
        </is>
      </c>
      <c r="B21" s="182" t="n">
        <v>13</v>
      </c>
      <c r="C21" s="181" t="inlineStr">
        <is>
          <t>[Nhập tên vật tư / thiết bị mẫu 13]</t>
        </is>
      </c>
      <c r="D21" s="181" t="inlineStr">
        <is>
          <t>Cái</t>
        </is>
      </c>
      <c r="E21" s="182" t="inlineStr">
        <is>
          <t>Cái</t>
        </is>
      </c>
      <c r="F21" s="183" t="n"/>
      <c r="G21" s="183" t="n"/>
      <c r="H21" s="184">
        <f>IF(OR(ISNUMBER(F21),ISNUMBER(G21)),N(F21)-N(G21),"")</f>
        <v/>
      </c>
      <c r="I21" s="181" t="n"/>
      <c r="J21" s="182">
        <f>IF(OR(ISNUMBER(F21),ISNUMBER(G21)),IF(ISBLANK(G21),"⚠️ Chưa bóc tách định mức",IF(H21&gt;=0,"✅ OK - Cho phép đặt hàng","❌ CHẶN ĐẶT HÀNG - CẦN BẢO VỆ KL")),"")</f>
        <v/>
      </c>
      <c r="K21" s="181">
        <f>IF(OR(ISNUMBER(F21),ISNUMBER(G21)),IF(ISBLANK(G21),"Kỹ sư/Thầu phụ cần bóc tách KL bản vẽ",IF(H21&gt;=0,"Được đặt hàng tối đa "&amp;G21&amp;" "&amp;E21,"Vượt dự toán "&amp;ABS(H21)&amp;" "&amp;E21&amp;" (QS giải trình &amp; duyệt sửa BOQ)")),"")</f>
        <v/>
      </c>
    </row>
    <row r="22">
      <c r="A22" s="182" t="inlineStr">
        <is>
          <t>MA-BOQ-014</t>
        </is>
      </c>
      <c r="B22" s="182" t="n">
        <v>14</v>
      </c>
      <c r="C22" s="181" t="inlineStr">
        <is>
          <t>[Nhập tên vật tư / thiết bị mẫu 14]</t>
        </is>
      </c>
      <c r="D22" s="181" t="inlineStr">
        <is>
          <t>Cái</t>
        </is>
      </c>
      <c r="E22" s="182" t="inlineStr">
        <is>
          <t>Cái</t>
        </is>
      </c>
      <c r="F22" s="183" t="n"/>
      <c r="G22" s="183" t="n"/>
      <c r="H22" s="184">
        <f>IF(OR(ISNUMBER(F22),ISNUMBER(G22)),N(F22)-N(G22),"")</f>
        <v/>
      </c>
      <c r="I22" s="181" t="n"/>
      <c r="J22" s="182">
        <f>IF(OR(ISNUMBER(F22),ISNUMBER(G22)),IF(ISBLANK(G22),"⚠️ Chưa bóc tách định mức",IF(H22&gt;=0,"✅ OK - Cho phép đặt hàng","❌ CHẶN ĐẶT HÀNG - CẦN BẢO VỆ KL")),"")</f>
        <v/>
      </c>
      <c r="K22" s="181">
        <f>IF(OR(ISNUMBER(F22),ISNUMBER(G22)),IF(ISBLANK(G22),"Kỹ sư/Thầu phụ cần bóc tách KL bản vẽ",IF(H22&gt;=0,"Được đặt hàng tối đa "&amp;G22&amp;" "&amp;E22,"Vượt dự toán "&amp;ABS(H22)&amp;" "&amp;E22&amp;" (QS giải trình &amp; duyệt sửa BOQ)")),"")</f>
        <v/>
      </c>
    </row>
    <row r="23">
      <c r="A23" s="182" t="inlineStr">
        <is>
          <t>MA-BOQ-015</t>
        </is>
      </c>
      <c r="B23" s="182" t="n">
        <v>15</v>
      </c>
      <c r="C23" s="181" t="inlineStr">
        <is>
          <t>[Nhập tên vật tư / thiết bị mẫu 15]</t>
        </is>
      </c>
      <c r="D23" s="181" t="inlineStr">
        <is>
          <t>Cái</t>
        </is>
      </c>
      <c r="E23" s="182" t="inlineStr">
        <is>
          <t>Cái</t>
        </is>
      </c>
      <c r="F23" s="183" t="n"/>
      <c r="G23" s="183" t="n"/>
      <c r="H23" s="184">
        <f>IF(OR(ISNUMBER(F23),ISNUMBER(G23)),N(F23)-N(G23),"")</f>
        <v/>
      </c>
      <c r="I23" s="181" t="n"/>
      <c r="J23" s="182">
        <f>IF(OR(ISNUMBER(F23),ISNUMBER(G23)),IF(ISBLANK(G23),"⚠️ Chưa bóc tách định mức",IF(H23&gt;=0,"✅ OK - Cho phép đặt hàng","❌ CHẶN ĐẶT HÀNG - CẦN BẢO VỆ KL")),"")</f>
        <v/>
      </c>
      <c r="K23" s="181">
        <f>IF(OR(ISNUMBER(F23),ISNUMBER(G23)),IF(ISBLANK(G23),"Kỹ sư/Thầu phụ cần bóc tách KL bản vẽ",IF(H23&gt;=0,"Được đặt hàng tối đa "&amp;G23&amp;" "&amp;E23,"Vượt dự toán "&amp;ABS(H23)&amp;" "&amp;E23&amp;" (QS giải trình &amp; duyệt sửa BOQ)")),"")</f>
        <v/>
      </c>
    </row>
    <row r="24">
      <c r="A24" s="182" t="inlineStr">
        <is>
          <t>MA-BOQ-016</t>
        </is>
      </c>
      <c r="B24" s="182" t="n">
        <v>16</v>
      </c>
      <c r="C24" s="181" t="inlineStr">
        <is>
          <t>[Nhập tên vật tư / thiết bị mẫu 16]</t>
        </is>
      </c>
      <c r="D24" s="181" t="inlineStr">
        <is>
          <t>Cái</t>
        </is>
      </c>
      <c r="E24" s="182" t="inlineStr">
        <is>
          <t>Cái</t>
        </is>
      </c>
      <c r="F24" s="183" t="n"/>
      <c r="G24" s="183" t="n"/>
      <c r="H24" s="184">
        <f>IF(OR(ISNUMBER(F24),ISNUMBER(G24)),N(F24)-N(G24),"")</f>
        <v/>
      </c>
      <c r="I24" s="181" t="n"/>
      <c r="J24" s="182">
        <f>IF(OR(ISNUMBER(F24),ISNUMBER(G24)),IF(ISBLANK(G24),"⚠️ Chưa bóc tách định mức",IF(H24&gt;=0,"✅ OK - Cho phép đặt hàng","❌ CHẶN ĐẶT HÀNG - CẦN BẢO VỆ KL")),"")</f>
        <v/>
      </c>
      <c r="K24" s="181">
        <f>IF(OR(ISNUMBER(F24),ISNUMBER(G24)),IF(ISBLANK(G24),"Kỹ sư/Thầu phụ cần bóc tách KL bản vẽ",IF(H24&gt;=0,"Được đặt hàng tối đa "&amp;G24&amp;" "&amp;E24,"Vượt dự toán "&amp;ABS(H24)&amp;" "&amp;E24&amp;" (QS giải trình &amp; duyệt sửa BOQ)")),"")</f>
        <v/>
      </c>
    </row>
    <row r="25">
      <c r="A25" s="182" t="inlineStr">
        <is>
          <t>MA-BOQ-017</t>
        </is>
      </c>
      <c r="B25" s="182" t="n">
        <v>17</v>
      </c>
      <c r="C25" s="181" t="inlineStr">
        <is>
          <t>[Nhập tên vật tư / thiết bị mẫu 17]</t>
        </is>
      </c>
      <c r="D25" s="181" t="inlineStr">
        <is>
          <t>Cái</t>
        </is>
      </c>
      <c r="E25" s="182" t="inlineStr">
        <is>
          <t>Cái</t>
        </is>
      </c>
      <c r="F25" s="183" t="n"/>
      <c r="G25" s="183" t="n"/>
      <c r="H25" s="184">
        <f>IF(OR(ISNUMBER(F25),ISNUMBER(G25)),N(F25)-N(G25),"")</f>
        <v/>
      </c>
      <c r="I25" s="181" t="n"/>
      <c r="J25" s="182">
        <f>IF(OR(ISNUMBER(F25),ISNUMBER(G25)),IF(ISBLANK(G25),"⚠️ Chưa bóc tách định mức",IF(H25&gt;=0,"✅ OK - Cho phép đặt hàng","❌ CHẶN ĐẶT HÀNG - CẦN BẢO VỆ KL")),"")</f>
        <v/>
      </c>
      <c r="K25" s="181">
        <f>IF(OR(ISNUMBER(F25),ISNUMBER(G25)),IF(ISBLANK(G25),"Kỹ sư/Thầu phụ cần bóc tách KL bản vẽ",IF(H25&gt;=0,"Được đặt hàng tối đa "&amp;G25&amp;" "&amp;E25,"Vượt dự toán "&amp;ABS(H25)&amp;" "&amp;E25&amp;" (QS giải trình &amp; duyệt sửa BOQ)")),"")</f>
        <v/>
      </c>
    </row>
    <row r="26">
      <c r="A26" s="182" t="inlineStr">
        <is>
          <t>MA-BOQ-018</t>
        </is>
      </c>
      <c r="B26" s="182" t="n">
        <v>18</v>
      </c>
      <c r="C26" s="181" t="inlineStr">
        <is>
          <t>[Nhập tên vật tư / thiết bị mẫu 18]</t>
        </is>
      </c>
      <c r="D26" s="181" t="inlineStr">
        <is>
          <t>Cái</t>
        </is>
      </c>
      <c r="E26" s="182" t="inlineStr">
        <is>
          <t>Cái</t>
        </is>
      </c>
      <c r="F26" s="183" t="n"/>
      <c r="G26" s="183" t="n"/>
      <c r="H26" s="184">
        <f>IF(OR(ISNUMBER(F26),ISNUMBER(G26)),N(F26)-N(G26),"")</f>
        <v/>
      </c>
      <c r="I26" s="181" t="n"/>
      <c r="J26" s="182">
        <f>IF(OR(ISNUMBER(F26),ISNUMBER(G26)),IF(ISBLANK(G26),"⚠️ Chưa bóc tách định mức",IF(H26&gt;=0,"✅ OK - Cho phép đặt hàng","❌ CHẶN ĐẶT HÀNG - CẦN BẢO VỆ KL")),"")</f>
        <v/>
      </c>
      <c r="K26" s="181">
        <f>IF(OR(ISNUMBER(F26),ISNUMBER(G26)),IF(ISBLANK(G26),"Kỹ sư/Thầu phụ cần bóc tách KL bản vẽ",IF(H26&gt;=0,"Được đặt hàng tối đa "&amp;G26&amp;" "&amp;E26,"Vượt dự toán "&amp;ABS(H26)&amp;" "&amp;E26&amp;" (QS giải trình &amp; duyệt sửa BOQ)")),"")</f>
        <v/>
      </c>
    </row>
    <row r="27">
      <c r="A27" s="182" t="inlineStr">
        <is>
          <t>MA-BOQ-019</t>
        </is>
      </c>
      <c r="B27" s="182" t="n">
        <v>19</v>
      </c>
      <c r="C27" s="181" t="inlineStr">
        <is>
          <t>[Nhập tên vật tư / thiết bị mẫu 19]</t>
        </is>
      </c>
      <c r="D27" s="181" t="inlineStr">
        <is>
          <t>Cái</t>
        </is>
      </c>
      <c r="E27" s="182" t="inlineStr">
        <is>
          <t>Cái</t>
        </is>
      </c>
      <c r="F27" s="183" t="n"/>
      <c r="G27" s="183" t="n"/>
      <c r="H27" s="184">
        <f>IF(OR(ISNUMBER(F27),ISNUMBER(G27)),N(F27)-N(G27),"")</f>
        <v/>
      </c>
      <c r="I27" s="181" t="n"/>
      <c r="J27" s="182">
        <f>IF(OR(ISNUMBER(F27),ISNUMBER(G27)),IF(ISBLANK(G27),"⚠️ Chưa bóc tách định mức",IF(H27&gt;=0,"✅ OK - Cho phép đặt hàng","❌ CHẶN ĐẶT HÀNG - CẦN BẢO VỆ KL")),"")</f>
        <v/>
      </c>
      <c r="K27" s="181">
        <f>IF(OR(ISNUMBER(F27),ISNUMBER(G27)),IF(ISBLANK(G27),"Kỹ sư/Thầu phụ cần bóc tách KL bản vẽ",IF(H27&gt;=0,"Được đặt hàng tối đa "&amp;G27&amp;" "&amp;E27,"Vượt dự toán "&amp;ABS(H27)&amp;" "&amp;E27&amp;" (QS giải trình &amp; duyệt sửa BOQ)")),"")</f>
        <v/>
      </c>
    </row>
    <row r="28">
      <c r="A28" s="182" t="inlineStr">
        <is>
          <t>MA-BOQ-020</t>
        </is>
      </c>
      <c r="B28" s="182" t="n">
        <v>20</v>
      </c>
      <c r="C28" s="181" t="inlineStr">
        <is>
          <t>[Nhập tên vật tư / thiết bị mẫu 20]</t>
        </is>
      </c>
      <c r="D28" s="181" t="inlineStr">
        <is>
          <t>Cái</t>
        </is>
      </c>
      <c r="E28" s="182" t="inlineStr">
        <is>
          <t>Cái</t>
        </is>
      </c>
      <c r="F28" s="183" t="n"/>
      <c r="G28" s="183" t="n"/>
      <c r="H28" s="184">
        <f>IF(OR(ISNUMBER(F28),ISNUMBER(G28)),N(F28)-N(G28),"")</f>
        <v/>
      </c>
      <c r="I28" s="181" t="n"/>
      <c r="J28" s="182">
        <f>IF(OR(ISNUMBER(F28),ISNUMBER(G28)),IF(ISBLANK(G28),"⚠️ Chưa bóc tách định mức",IF(H28&gt;=0,"✅ OK - Cho phép đặt hàng","❌ CHẶN ĐẶT HÀNG - CẦN BẢO VỆ KL")),"")</f>
        <v/>
      </c>
      <c r="K28" s="181">
        <f>IF(OR(ISNUMBER(F28),ISNUMBER(G28)),IF(ISBLANK(G28),"Kỹ sư/Thầu phụ cần bóc tách KL bản vẽ",IF(H28&gt;=0,"Được đặt hàng tối đa "&amp;G28&amp;" "&amp;E28,"Vượt dự toán "&amp;ABS(H28)&amp;" "&amp;E28&amp;" (QS giải trình &amp; duyệt sửa BOQ)")),"")</f>
        <v/>
      </c>
    </row>
  </sheetData>
  <conditionalFormatting sqref="H7:H100">
    <cfRule type="cellIs" priority="1" operator="lessThan" dxfId="24" stopIfTrue="1">
      <formula>0</formula>
    </cfRule>
    <cfRule type="cellIs" priority="2" operator="greaterThanOrEqual" dxfId="25" stopIfTrue="1">
      <formula>0</formula>
    </cfRule>
  </conditionalFormatting>
  <conditionalFormatting sqref="J7:J100">
    <cfRule type="expression" priority="3" dxfId="24" stopIfTrue="1">
      <formula>ISNUMBER(SEARCH("CHẶN", J7))</formula>
    </cfRule>
    <cfRule type="expression" priority="4" dxfId="25" stopIfTrue="1">
      <formula>ISNUMBER(SEARCH("OK", J7))</formula>
    </cfRule>
    <cfRule type="expression" priority="5" dxfId="26" stopIfTrue="1">
      <formula>ISNUMBER(SEARCH("Chưa bóc tách", J7))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101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09375" defaultRowHeight="15.75" customHeight="1"/>
  <cols>
    <col width="13.609375" customWidth="1" style="75" min="1" max="1"/>
    <col width="10.71875" customWidth="1" style="75" min="2" max="2"/>
    <col width="14.38671875" customWidth="1" style="75" min="3" max="3"/>
    <col width="25" customWidth="1" style="75" min="4" max="4"/>
    <col width="11.88671875" customWidth="1" style="75" min="5" max="5"/>
    <col width="10.109375" customWidth="1" style="75" min="6" max="6"/>
    <col width="15.21875" customWidth="1" style="75" min="7" max="7"/>
    <col hidden="1" width="15.5" customWidth="1" style="75" min="8" max="8"/>
    <col width="15.109375" customWidth="1" style="75" min="9" max="10"/>
  </cols>
  <sheetData>
    <row r="1" ht="12.3" customHeight="1" s="75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42.3" customHeight="1" s="75">
      <c r="A2" s="76" t="inlineStr">
        <is>
          <t>PHIẾU XUẤT KHO</t>
        </is>
      </c>
    </row>
    <row r="3" ht="25.5" customHeight="1" s="75">
      <c r="A3" s="77" t="inlineStr">
        <is>
          <t>Tên dự án</t>
        </is>
      </c>
      <c r="C3" s="77" t="inlineStr">
        <is>
          <t>Khu căn hộ Phúc Lộc Khang</t>
        </is>
      </c>
      <c r="E3" s="18" t="n"/>
      <c r="F3" s="18" t="n"/>
      <c r="G3" s="18" t="n"/>
      <c r="H3" s="18" t="n"/>
      <c r="I3" s="18" t="n"/>
      <c r="J3" s="18" t="n"/>
      <c r="K3" s="18" t="n"/>
    </row>
    <row r="4" ht="18.9" customHeight="1" s="75">
      <c r="A4" s="77" t="inlineStr">
        <is>
          <t>Địa chỉ</t>
        </is>
      </c>
      <c r="C4" s="77" t="inlineStr">
        <is>
          <t>Phường Dĩ An, TP. HMC</t>
        </is>
      </c>
      <c r="E4" s="18" t="n"/>
      <c r="F4" s="18" t="n"/>
      <c r="G4" s="18" t="n"/>
      <c r="H4" s="18" t="n"/>
      <c r="I4" s="18" t="n"/>
      <c r="J4" s="18" t="n"/>
    </row>
    <row r="5" ht="18.9" customHeight="1" s="75">
      <c r="A5" s="77" t="inlineStr">
        <is>
          <t>Tên nhà thầu</t>
        </is>
      </c>
      <c r="C5" s="77" t="inlineStr">
        <is>
          <t>An Phát</t>
        </is>
      </c>
      <c r="E5" s="18" t="n"/>
      <c r="F5" s="18" t="n"/>
      <c r="G5" s="18" t="n"/>
      <c r="H5" s="18" t="n"/>
      <c r="I5" s="18" t="n"/>
      <c r="J5" s="18" t="n"/>
    </row>
    <row r="6" ht="18.9" customHeight="1" s="75">
      <c r="A6" s="77" t="inlineStr">
        <is>
          <t>Hạng mục</t>
        </is>
      </c>
      <c r="C6" s="77" t="inlineStr">
        <is>
          <t>Cấp Thoát Nước</t>
        </is>
      </c>
      <c r="E6" s="18" t="n"/>
      <c r="F6" s="18" t="n"/>
      <c r="G6" s="18" t="n"/>
      <c r="H6" s="18" t="n"/>
      <c r="I6" s="18" t="n"/>
      <c r="J6" s="18" t="n"/>
    </row>
    <row r="7" ht="24" customHeight="1" s="75">
      <c r="A7" s="77" t="inlineStr">
        <is>
          <t>Người Xuất</t>
        </is>
      </c>
      <c r="C7" s="80" t="n"/>
      <c r="E7" s="18" t="n"/>
      <c r="F7" s="18" t="n"/>
      <c r="G7" s="18" t="n"/>
      <c r="H7" s="18" t="n"/>
      <c r="I7" s="18" t="n"/>
      <c r="J7" s="18" t="n"/>
    </row>
    <row r="8" ht="24.75" customHeight="1" s="75">
      <c r="A8" s="77" t="inlineStr">
        <is>
          <t>Số</t>
        </is>
      </c>
      <c r="B8" s="77" t="inlineStr">
        <is>
          <t>Phiếu 003</t>
        </is>
      </c>
      <c r="D8" s="80" t="n"/>
      <c r="E8" s="18" t="n"/>
      <c r="F8" s="18" t="n"/>
      <c r="G8" s="18" t="n"/>
      <c r="H8" s="18" t="n"/>
      <c r="I8" s="18" t="n"/>
      <c r="J8" s="18" t="n"/>
    </row>
    <row r="9" ht="40.2" customHeight="1" s="75">
      <c r="A9" s="8" t="inlineStr">
        <is>
          <t>Ngày xuất</t>
        </is>
      </c>
      <c r="B9" s="8" t="inlineStr">
        <is>
          <t xml:space="preserve">Tháp </t>
        </is>
      </c>
      <c r="C9" s="8" t="inlineStr">
        <is>
          <t xml:space="preserve">Khu vực </t>
        </is>
      </c>
      <c r="D9" s="8" t="inlineStr">
        <is>
          <t xml:space="preserve"> Mã hàng </t>
        </is>
      </c>
      <c r="E9" s="8" t="inlineStr">
        <is>
          <t>Tên vật tư</t>
        </is>
      </c>
      <c r="F9" s="8" t="inlineStr">
        <is>
          <t>Đơn vị</t>
        </is>
      </c>
      <c r="G9" s="8" t="inlineStr">
        <is>
          <t>Số lượng</t>
        </is>
      </c>
      <c r="H9" s="8" t="inlineStr">
        <is>
          <t>Số phiếu xuất</t>
        </is>
      </c>
      <c r="I9" s="8" t="inlineStr">
        <is>
          <t>Bên nhận</t>
        </is>
      </c>
      <c r="J9" s="8" t="inlineStr">
        <is>
          <t>Ghi chú</t>
        </is>
      </c>
    </row>
    <row r="10" ht="16.2" customHeight="1" s="75">
      <c r="A10" s="9">
        <f>IFERROR(__xludf.DUMMYFUNCTION("IFERROR(QUERY('Xuất kho'!A4:J3001, ""select A, B, C, D, E, F, G, H, I where A is not null and H = '""&amp;B8&amp;""'"", 0), ""❌ Không Tìm 
Thấy PHiếu Xuất"")"),"❌ Không Tìm 
Thấy PHiếu Xuất")</f>
        <v/>
      </c>
      <c r="B10" s="12" t="n"/>
      <c r="C10" s="11" t="n"/>
      <c r="D10" s="11" t="n"/>
      <c r="E10" s="12" t="n"/>
      <c r="F10" s="12" t="n"/>
      <c r="G10" s="12" t="n"/>
      <c r="H10" s="11" t="n"/>
      <c r="I10" s="11" t="n"/>
      <c r="J10" s="11" t="n"/>
    </row>
    <row r="11" ht="16.2" customHeight="1" s="75">
      <c r="A11" s="9" t="n"/>
      <c r="B11" s="12" t="n"/>
      <c r="C11" s="11" t="n"/>
      <c r="D11" s="11" t="n"/>
      <c r="E11" s="12" t="n"/>
      <c r="F11" s="12" t="n"/>
      <c r="G11" s="12" t="n"/>
      <c r="H11" s="11" t="n"/>
      <c r="I11" s="11" t="n"/>
      <c r="J11" s="11" t="n"/>
    </row>
    <row r="12" ht="16.2" customHeight="1" s="75">
      <c r="A12" s="9" t="n"/>
      <c r="B12" s="12" t="n"/>
      <c r="C12" s="11" t="n"/>
      <c r="D12" s="11" t="n"/>
      <c r="E12" s="12" t="n"/>
      <c r="F12" s="12" t="n"/>
      <c r="G12" s="12" t="n"/>
      <c r="H12" s="11" t="n"/>
      <c r="I12" s="11" t="n"/>
      <c r="J12" s="11" t="n"/>
    </row>
    <row r="13" ht="16.2" customHeight="1" s="75">
      <c r="A13" s="9" t="n"/>
      <c r="B13" s="12" t="n"/>
      <c r="C13" s="11" t="n"/>
      <c r="D13" s="11" t="n"/>
      <c r="E13" s="12" t="n"/>
      <c r="F13" s="12" t="n"/>
      <c r="G13" s="12" t="n"/>
      <c r="H13" s="11" t="n"/>
      <c r="I13" s="11" t="n"/>
      <c r="J13" s="11" t="n"/>
    </row>
    <row r="14" ht="16.2" customHeight="1" s="75">
      <c r="A14" s="9" t="n"/>
      <c r="B14" s="12" t="n"/>
      <c r="C14" s="11" t="n"/>
      <c r="D14" s="11" t="n"/>
      <c r="E14" s="12" t="n"/>
      <c r="F14" s="12" t="n"/>
      <c r="G14" s="12" t="n"/>
      <c r="H14" s="11" t="n"/>
      <c r="I14" s="11" t="n"/>
      <c r="J14" s="11" t="n"/>
    </row>
    <row r="15" ht="16.2" customHeight="1" s="75">
      <c r="A15" s="9" t="n"/>
      <c r="B15" s="12" t="n"/>
      <c r="C15" s="11" t="n"/>
      <c r="D15" s="11" t="n"/>
      <c r="E15" s="12" t="n"/>
      <c r="F15" s="12" t="n"/>
      <c r="G15" s="12" t="n"/>
      <c r="H15" s="11" t="n"/>
      <c r="I15" s="11" t="n"/>
      <c r="J15" s="11" t="n"/>
    </row>
    <row r="16" ht="16.2" customHeight="1" s="75">
      <c r="A16" s="9" t="n"/>
      <c r="B16" s="12" t="n"/>
      <c r="C16" s="11" t="n"/>
      <c r="D16" s="11" t="n"/>
      <c r="E16" s="12" t="n"/>
      <c r="F16" s="12" t="n"/>
      <c r="G16" s="12" t="n"/>
      <c r="H16" s="11" t="n"/>
      <c r="I16" s="11" t="n"/>
      <c r="J16" s="11" t="n"/>
    </row>
    <row r="17" ht="16.2" customHeight="1" s="75">
      <c r="A17" s="9" t="n"/>
      <c r="B17" s="12" t="n"/>
      <c r="C17" s="11" t="n"/>
      <c r="D17" s="11" t="n"/>
      <c r="E17" s="12" t="n"/>
      <c r="F17" s="12" t="n"/>
      <c r="G17" s="12" t="n"/>
      <c r="H17" s="11" t="n"/>
      <c r="I17" s="11" t="n"/>
      <c r="J17" s="11" t="n"/>
    </row>
    <row r="18" ht="16.2" customHeight="1" s="75">
      <c r="A18" s="9" t="n"/>
      <c r="B18" s="12" t="n"/>
      <c r="C18" s="11" t="n"/>
      <c r="D18" s="11" t="n"/>
      <c r="E18" s="12" t="n"/>
      <c r="F18" s="12" t="n"/>
      <c r="G18" s="12" t="n"/>
      <c r="H18" s="11" t="n"/>
      <c r="I18" s="11" t="n"/>
      <c r="J18" s="11" t="n"/>
    </row>
    <row r="19" ht="16.2" customHeight="1" s="75">
      <c r="A19" s="9" t="n"/>
      <c r="B19" s="12" t="n"/>
      <c r="C19" s="11" t="n"/>
      <c r="D19" s="11" t="n"/>
      <c r="E19" s="12" t="n"/>
      <c r="F19" s="12" t="n"/>
      <c r="G19" s="12" t="n"/>
      <c r="H19" s="11" t="n"/>
      <c r="I19" s="11" t="n"/>
      <c r="J19" s="11" t="n"/>
    </row>
    <row r="20" ht="16.2" customHeight="1" s="75">
      <c r="A20" s="9" t="n"/>
      <c r="B20" s="12" t="n"/>
      <c r="C20" s="11" t="n"/>
      <c r="D20" s="11" t="n"/>
      <c r="E20" s="12" t="n"/>
      <c r="F20" s="12" t="n"/>
      <c r="G20" s="12" t="n"/>
      <c r="H20" s="11" t="n"/>
      <c r="I20" s="11" t="n"/>
      <c r="J20" s="11" t="n"/>
    </row>
    <row r="21" ht="16.2" customHeight="1" s="75">
      <c r="A21" s="9" t="n"/>
      <c r="B21" s="12" t="n"/>
      <c r="C21" s="11" t="n"/>
      <c r="D21" s="11" t="n"/>
      <c r="E21" s="12" t="n"/>
      <c r="F21" s="12" t="n"/>
      <c r="G21" s="12" t="n"/>
      <c r="H21" s="11" t="n"/>
      <c r="I21" s="11" t="n"/>
      <c r="J21" s="11" t="n"/>
    </row>
    <row r="22" ht="16.2" customHeight="1" s="75">
      <c r="A22" s="9" t="n"/>
      <c r="B22" s="12" t="n"/>
      <c r="C22" s="11" t="n"/>
      <c r="D22" s="11" t="n"/>
      <c r="E22" s="12" t="n"/>
      <c r="F22" s="12" t="n"/>
      <c r="G22" s="12" t="n"/>
      <c r="H22" s="11" t="n"/>
      <c r="I22" s="11" t="n"/>
      <c r="J22" s="11" t="n"/>
    </row>
    <row r="23" ht="16.2" customHeight="1" s="75">
      <c r="A23" s="9" t="n"/>
      <c r="B23" s="12" t="n"/>
      <c r="C23" s="11" t="n"/>
      <c r="D23" s="11" t="n"/>
      <c r="E23" s="12" t="n"/>
      <c r="F23" s="12" t="n"/>
      <c r="G23" s="12" t="n"/>
      <c r="H23" s="11" t="n"/>
      <c r="I23" s="11" t="n"/>
      <c r="J23" s="11" t="n"/>
    </row>
    <row r="24" ht="16.2" customHeight="1" s="75">
      <c r="A24" s="9" t="n"/>
      <c r="B24" s="12" t="n"/>
      <c r="C24" s="11" t="n"/>
      <c r="D24" s="11" t="n"/>
      <c r="E24" s="12" t="n"/>
      <c r="F24" s="12" t="n"/>
      <c r="G24" s="12" t="n"/>
      <c r="H24" s="11" t="n"/>
      <c r="I24" s="11" t="n"/>
      <c r="J24" s="11" t="n"/>
    </row>
    <row r="25" ht="16.2" customHeight="1" s="75">
      <c r="A25" s="9" t="n"/>
      <c r="B25" s="12" t="n"/>
      <c r="C25" s="11" t="n"/>
      <c r="D25" s="11" t="n"/>
      <c r="E25" s="12" t="n"/>
      <c r="F25" s="12" t="n"/>
      <c r="G25" s="12" t="n"/>
      <c r="H25" s="11" t="n"/>
      <c r="I25" s="11" t="n"/>
      <c r="J25" s="11" t="n"/>
    </row>
    <row r="26" hidden="1" ht="16.2" customHeight="1" s="75">
      <c r="A26" s="9" t="n"/>
      <c r="B26" s="12" t="n"/>
      <c r="C26" s="11" t="n"/>
      <c r="D26" s="11" t="n"/>
      <c r="E26" s="12" t="n"/>
      <c r="F26" s="12" t="n"/>
      <c r="G26" s="12" t="n"/>
      <c r="H26" s="11" t="n"/>
      <c r="I26" s="11" t="n"/>
      <c r="J26" s="11" t="n"/>
    </row>
    <row r="27" hidden="1" ht="16.2" customHeight="1" s="75">
      <c r="A27" s="9" t="n"/>
      <c r="B27" s="12" t="n"/>
      <c r="C27" s="11" t="n"/>
      <c r="D27" s="11" t="n"/>
      <c r="E27" s="12" t="n"/>
      <c r="F27" s="12" t="n"/>
      <c r="G27" s="12" t="n"/>
      <c r="H27" s="11" t="n"/>
      <c r="I27" s="11" t="n"/>
      <c r="J27" s="11" t="n"/>
    </row>
    <row r="28" hidden="1" ht="16.2" customHeight="1" s="75">
      <c r="A28" s="9" t="n"/>
      <c r="B28" s="12" t="n"/>
      <c r="C28" s="11" t="n"/>
      <c r="D28" s="11" t="n"/>
      <c r="E28" s="12" t="n"/>
      <c r="F28" s="12" t="n"/>
      <c r="G28" s="12" t="n"/>
      <c r="H28" s="11" t="n"/>
      <c r="I28" s="11" t="n"/>
      <c r="J28" s="11" t="n"/>
    </row>
    <row r="29" hidden="1" ht="16.2" customHeight="1" s="75">
      <c r="A29" s="9" t="n"/>
      <c r="B29" s="12" t="n"/>
      <c r="C29" s="11" t="n"/>
      <c r="D29" s="11" t="n"/>
      <c r="E29" s="12" t="n"/>
      <c r="F29" s="12" t="n"/>
      <c r="G29" s="12" t="n"/>
      <c r="H29" s="11" t="n"/>
      <c r="I29" s="11" t="n"/>
      <c r="J29" s="11" t="n"/>
    </row>
    <row r="30" hidden="1" ht="16.2" customHeight="1" s="75">
      <c r="A30" s="9" t="n"/>
      <c r="B30" s="12" t="n"/>
      <c r="C30" s="11" t="n"/>
      <c r="D30" s="11" t="n"/>
      <c r="E30" s="12" t="n"/>
      <c r="F30" s="12" t="n"/>
      <c r="G30" s="12" t="n"/>
      <c r="H30" s="11" t="n"/>
      <c r="I30" s="11" t="n"/>
      <c r="J30" s="11" t="n"/>
    </row>
    <row r="31" hidden="1" ht="16.2" customHeight="1" s="75">
      <c r="A31" s="9" t="n"/>
      <c r="B31" s="12" t="n"/>
      <c r="C31" s="11" t="n"/>
      <c r="D31" s="11" t="n"/>
      <c r="E31" s="12" t="n"/>
      <c r="F31" s="12" t="n"/>
      <c r="G31" s="12" t="n"/>
      <c r="H31" s="11" t="n"/>
      <c r="I31" s="11" t="n"/>
      <c r="J31" s="11" t="n"/>
    </row>
    <row r="32" hidden="1" ht="16.2" customHeight="1" s="75">
      <c r="A32" s="9" t="n"/>
      <c r="B32" s="12" t="n"/>
      <c r="C32" s="11" t="n"/>
      <c r="D32" s="11" t="n"/>
      <c r="E32" s="12" t="n"/>
      <c r="F32" s="12" t="n"/>
      <c r="G32" s="12" t="n"/>
      <c r="H32" s="11" t="n"/>
      <c r="I32" s="11" t="n"/>
      <c r="J32" s="11" t="n"/>
    </row>
    <row r="33" hidden="1" ht="16.2" customHeight="1" s="75">
      <c r="A33" s="9" t="n"/>
      <c r="B33" s="12" t="n"/>
      <c r="C33" s="11" t="n"/>
      <c r="D33" s="11" t="n"/>
      <c r="E33" s="12" t="n"/>
      <c r="F33" s="12" t="n"/>
      <c r="G33" s="12" t="n"/>
      <c r="H33" s="11" t="n"/>
      <c r="I33" s="11" t="n"/>
      <c r="J33" s="11" t="n"/>
    </row>
    <row r="34" hidden="1" ht="16.2" customHeight="1" s="75">
      <c r="A34" s="9" t="n"/>
      <c r="B34" s="12" t="n"/>
      <c r="C34" s="11" t="n"/>
      <c r="D34" s="11" t="n"/>
      <c r="E34" s="12" t="n"/>
      <c r="F34" s="12" t="n"/>
      <c r="G34" s="12" t="n"/>
      <c r="H34" s="11" t="n"/>
      <c r="I34" s="11" t="n"/>
      <c r="J34" s="11" t="n"/>
    </row>
    <row r="35" hidden="1" ht="16.2" customHeight="1" s="75">
      <c r="A35" s="9" t="n"/>
      <c r="B35" s="12" t="n"/>
      <c r="C35" s="11" t="n"/>
      <c r="D35" s="11" t="n"/>
      <c r="E35" s="12" t="n"/>
      <c r="F35" s="12" t="n"/>
      <c r="G35" s="12" t="n"/>
      <c r="H35" s="11" t="n"/>
      <c r="I35" s="11" t="n"/>
      <c r="J35" s="11" t="n"/>
    </row>
    <row r="36" hidden="1" ht="16.2" customHeight="1" s="75">
      <c r="A36" s="9" t="n"/>
      <c r="B36" s="12" t="n"/>
      <c r="C36" s="11" t="n"/>
      <c r="D36" s="11" t="n"/>
      <c r="E36" s="12" t="n"/>
      <c r="F36" s="12" t="n"/>
      <c r="G36" s="12" t="n"/>
      <c r="H36" s="11" t="n"/>
      <c r="I36" s="11" t="n"/>
      <c r="J36" s="11" t="n"/>
    </row>
    <row r="37" ht="16.2" customHeight="1" s="75">
      <c r="A37" s="13" t="n"/>
      <c r="B37" s="14" t="n"/>
      <c r="C37" s="16" t="n"/>
      <c r="D37" s="16" t="n"/>
      <c r="E37" s="14" t="n"/>
      <c r="F37" s="14" t="n"/>
      <c r="G37" s="16" t="n"/>
      <c r="H37" s="16" t="n"/>
      <c r="I37" s="16" t="n"/>
      <c r="J37" s="16" t="n"/>
    </row>
    <row r="38" ht="16.2" customHeight="1" s="75">
      <c r="A38" s="13" t="n"/>
      <c r="B38" s="14" t="n"/>
      <c r="C38" s="16" t="n"/>
      <c r="D38" s="16" t="n"/>
      <c r="E38" s="14" t="n"/>
      <c r="F38" s="14" t="n"/>
      <c r="G38" s="16" t="n"/>
      <c r="H38" s="16" t="n"/>
      <c r="I38" s="16" t="n"/>
      <c r="J38" s="16" t="n"/>
    </row>
    <row r="39" ht="16.2" customHeight="1" s="75">
      <c r="A39" s="13" t="n"/>
      <c r="B39" s="14" t="n"/>
      <c r="C39" s="16" t="n"/>
      <c r="D39" s="16" t="n"/>
      <c r="E39" s="14" t="n"/>
      <c r="F39" s="14" t="n"/>
      <c r="G39" s="16" t="n"/>
      <c r="H39" s="16" t="n"/>
      <c r="I39" s="16" t="n"/>
      <c r="J39" s="16" t="n"/>
    </row>
    <row r="40" ht="17.7" customHeight="1" s="75">
      <c r="A40" s="17" t="n"/>
      <c r="B40" s="14" t="n"/>
      <c r="C40" s="16" t="n"/>
      <c r="D40" s="16" t="n"/>
      <c r="E40" s="14" t="n"/>
      <c r="F40" s="14" t="n"/>
      <c r="G40" s="78" t="n"/>
      <c r="I40" s="16" t="n"/>
      <c r="J40" s="16" t="n"/>
    </row>
    <row r="41" ht="17.7" customHeight="1" s="75">
      <c r="A41" s="17" t="n"/>
      <c r="B41" s="78" t="inlineStr">
        <is>
          <t>ĐẠI ĐIỆN BÊN XUẤT</t>
        </is>
      </c>
      <c r="D41" s="16" t="n"/>
      <c r="E41" s="14" t="n"/>
      <c r="F41" s="14" t="n"/>
      <c r="G41" s="78" t="inlineStr">
        <is>
          <t>ĐẠI ĐIỆN BÊN NHẬN</t>
        </is>
      </c>
      <c r="I41" s="16" t="n"/>
      <c r="J41" s="16" t="n"/>
    </row>
    <row r="42" ht="16.2" customHeight="1" s="75">
      <c r="A42" s="17" t="n"/>
      <c r="B42" s="79" t="inlineStr">
        <is>
          <t>Ký ghi rõ họ tên</t>
        </is>
      </c>
      <c r="D42" s="16" t="n"/>
      <c r="E42" s="14" t="n"/>
      <c r="F42" s="14" t="n"/>
      <c r="G42" s="79" t="inlineStr">
        <is>
          <t>Ký ghi rõ họ tên</t>
        </is>
      </c>
      <c r="I42" s="16" t="n"/>
      <c r="J42" s="16" t="n"/>
    </row>
    <row r="43" ht="12.3" customHeight="1" s="75">
      <c r="A43" s="17" t="n"/>
      <c r="B43" s="1" t="n"/>
      <c r="C43" s="18" t="n"/>
      <c r="D43" s="18" t="n"/>
      <c r="E43" s="1" t="n"/>
      <c r="F43" s="18" t="n"/>
      <c r="G43" s="18" t="n"/>
      <c r="H43" s="18" t="n"/>
      <c r="I43" s="18" t="n"/>
      <c r="J43" s="18" t="n"/>
    </row>
    <row r="44" ht="12.3" customHeight="1" s="75">
      <c r="A44" s="17" t="n"/>
      <c r="B44" s="1" t="n"/>
      <c r="C44" s="18" t="n"/>
      <c r="D44" s="18" t="n"/>
      <c r="E44" s="1" t="n"/>
      <c r="F44" s="18" t="n"/>
      <c r="G44" s="18" t="n"/>
      <c r="H44" s="18" t="n"/>
      <c r="I44" s="18" t="n"/>
      <c r="J44" s="18" t="n"/>
    </row>
    <row r="45" ht="12.3" customHeight="1" s="75">
      <c r="A45" s="17" t="n"/>
      <c r="B45" s="1" t="n"/>
      <c r="C45" s="18" t="n"/>
      <c r="D45" s="18" t="n"/>
      <c r="E45" s="1" t="n"/>
      <c r="F45" s="18" t="n"/>
      <c r="G45" s="18" t="n"/>
      <c r="H45" s="18" t="n"/>
      <c r="I45" s="18" t="n"/>
      <c r="J45" s="18" t="n"/>
    </row>
    <row r="46" ht="12.3" customHeight="1" s="75">
      <c r="A46" s="17" t="n"/>
      <c r="B46" s="1" t="n"/>
      <c r="C46" s="18" t="n"/>
      <c r="D46" s="18" t="n"/>
      <c r="E46" s="1" t="n"/>
      <c r="F46" s="18" t="n"/>
      <c r="G46" s="18" t="n"/>
      <c r="H46" s="18" t="n"/>
      <c r="I46" s="18" t="n"/>
      <c r="J46" s="18" t="n"/>
    </row>
    <row r="47" ht="12.3" customHeight="1" s="75">
      <c r="A47" s="17" t="n"/>
      <c r="B47" s="1" t="n"/>
      <c r="C47" s="18" t="n"/>
      <c r="D47" s="18" t="n"/>
      <c r="E47" s="1" t="n"/>
      <c r="F47" s="18" t="n"/>
      <c r="G47" s="18" t="n"/>
      <c r="H47" s="18" t="n"/>
      <c r="I47" s="18" t="n"/>
      <c r="J47" s="18" t="n"/>
    </row>
    <row r="48" ht="12.3" customHeight="1" s="75">
      <c r="A48" s="17" t="n"/>
      <c r="B48" s="1" t="n"/>
      <c r="C48" s="18" t="n"/>
      <c r="D48" s="18" t="n"/>
      <c r="E48" s="1" t="n"/>
      <c r="F48" s="18" t="n"/>
      <c r="G48" s="18" t="n"/>
      <c r="H48" s="18" t="n"/>
      <c r="I48" s="18" t="n"/>
      <c r="J48" s="18" t="n"/>
    </row>
    <row r="49" ht="12.3" customHeight="1" s="75">
      <c r="A49" s="17" t="n"/>
      <c r="B49" s="1" t="n"/>
      <c r="C49" s="18" t="n"/>
      <c r="D49" s="18" t="n"/>
      <c r="E49" s="1" t="n"/>
      <c r="F49" s="18" t="n"/>
      <c r="G49" s="18" t="n"/>
      <c r="H49" s="18" t="n"/>
      <c r="I49" s="18" t="n"/>
      <c r="J49" s="18" t="n"/>
    </row>
    <row r="50" ht="12.3" customHeight="1" s="75">
      <c r="A50" s="17" t="n"/>
      <c r="B50" s="1" t="n"/>
      <c r="C50" s="18" t="n"/>
      <c r="D50" s="18" t="n"/>
      <c r="E50" s="1" t="n"/>
      <c r="F50" s="18" t="n"/>
      <c r="G50" s="18" t="n"/>
      <c r="H50" s="18" t="n"/>
      <c r="I50" s="18" t="n"/>
      <c r="J50" s="18" t="n"/>
    </row>
    <row r="51" ht="12.3" customHeight="1" s="75">
      <c r="A51" s="17" t="n"/>
      <c r="B51" s="1" t="n"/>
      <c r="C51" s="18" t="n"/>
      <c r="D51" s="18" t="n"/>
      <c r="E51" s="1" t="n"/>
      <c r="F51" s="18" t="n"/>
      <c r="G51" s="18" t="n"/>
      <c r="H51" s="18" t="n"/>
      <c r="I51" s="18" t="n"/>
      <c r="J51" s="18" t="n"/>
    </row>
    <row r="52" ht="12.3" customHeight="1" s="75">
      <c r="A52" s="17" t="n"/>
      <c r="B52" s="1" t="n"/>
      <c r="C52" s="18" t="n"/>
      <c r="D52" s="18" t="n"/>
      <c r="E52" s="1" t="n"/>
      <c r="F52" s="18" t="n"/>
      <c r="G52" s="18" t="n"/>
      <c r="H52" s="18" t="n"/>
      <c r="I52" s="18" t="n"/>
      <c r="J52" s="18" t="n"/>
    </row>
    <row r="53" ht="12.3" customHeight="1" s="75">
      <c r="A53" s="17" t="n"/>
      <c r="B53" s="1" t="n"/>
      <c r="C53" s="18" t="n"/>
      <c r="D53" s="18" t="n"/>
      <c r="E53" s="1" t="n"/>
      <c r="F53" s="18" t="n"/>
      <c r="G53" s="18" t="n"/>
      <c r="H53" s="18" t="n"/>
      <c r="I53" s="18" t="n"/>
      <c r="J53" s="18" t="n"/>
    </row>
    <row r="54" ht="12.3" customHeight="1" s="75">
      <c r="A54" s="17" t="n"/>
      <c r="B54" s="1" t="n"/>
      <c r="C54" s="18" t="n"/>
      <c r="D54" s="18" t="n"/>
      <c r="E54" s="1" t="n"/>
      <c r="F54" s="18" t="n"/>
      <c r="G54" s="18" t="n"/>
      <c r="H54" s="18" t="n"/>
      <c r="I54" s="18" t="n"/>
      <c r="J54" s="18" t="n"/>
    </row>
    <row r="55" ht="12.3" customHeight="1" s="75">
      <c r="A55" s="17" t="n"/>
      <c r="B55" s="1" t="n"/>
      <c r="C55" s="18" t="n"/>
      <c r="D55" s="18" t="n"/>
      <c r="E55" s="1" t="n"/>
      <c r="F55" s="18" t="n"/>
      <c r="G55" s="18" t="n"/>
      <c r="H55" s="18" t="n"/>
      <c r="I55" s="18" t="n"/>
      <c r="J55" s="18" t="n"/>
    </row>
    <row r="56" ht="12.3" customHeight="1" s="75">
      <c r="A56" s="17" t="n"/>
      <c r="B56" s="1" t="n"/>
      <c r="C56" s="18" t="n"/>
      <c r="D56" s="18" t="n"/>
      <c r="E56" s="1" t="n"/>
      <c r="F56" s="18" t="n"/>
      <c r="G56" s="18" t="n"/>
      <c r="H56" s="18" t="n"/>
      <c r="I56" s="18" t="n"/>
      <c r="J56" s="18" t="n"/>
    </row>
    <row r="57" ht="12.3" customHeight="1" s="75">
      <c r="A57" s="17" t="n"/>
      <c r="B57" s="1" t="n"/>
      <c r="C57" s="18" t="n"/>
      <c r="D57" s="18" t="n"/>
      <c r="E57" s="1" t="n"/>
      <c r="F57" s="18" t="n"/>
      <c r="G57" s="18" t="n"/>
      <c r="H57" s="18" t="n"/>
      <c r="I57" s="18" t="n"/>
      <c r="J57" s="18" t="n"/>
    </row>
    <row r="58" ht="12.3" customHeight="1" s="75">
      <c r="A58" s="17" t="n"/>
      <c r="B58" s="1" t="n"/>
      <c r="C58" s="18" t="n"/>
      <c r="D58" s="18" t="n"/>
      <c r="E58" s="1" t="n"/>
      <c r="F58" s="18" t="n"/>
      <c r="G58" s="18" t="n"/>
      <c r="H58" s="18" t="n"/>
      <c r="I58" s="18" t="n"/>
      <c r="J58" s="18" t="n"/>
    </row>
    <row r="59" ht="12.3" customHeight="1" s="75">
      <c r="A59" s="17" t="n"/>
      <c r="B59" s="1" t="n"/>
      <c r="C59" s="18" t="n"/>
      <c r="D59" s="18" t="n"/>
      <c r="E59" s="1" t="n"/>
      <c r="F59" s="18" t="n"/>
      <c r="G59" s="18" t="n"/>
      <c r="H59" s="18" t="n"/>
      <c r="I59" s="18" t="n"/>
      <c r="J59" s="18" t="n"/>
    </row>
    <row r="60" ht="12.3" customHeight="1" s="75">
      <c r="A60" s="17" t="n"/>
      <c r="B60" s="1" t="n"/>
      <c r="C60" s="18" t="n"/>
      <c r="D60" s="18" t="n"/>
      <c r="E60" s="1" t="n"/>
      <c r="F60" s="18" t="n"/>
      <c r="G60" s="18" t="n"/>
      <c r="H60" s="18" t="n"/>
      <c r="I60" s="18" t="n"/>
      <c r="J60" s="18" t="n"/>
    </row>
    <row r="61" ht="12.3" customHeight="1" s="75">
      <c r="A61" s="17" t="n"/>
      <c r="B61" s="1" t="n"/>
      <c r="C61" s="18" t="n"/>
      <c r="D61" s="18" t="n"/>
      <c r="E61" s="1" t="n"/>
      <c r="F61" s="18" t="n"/>
      <c r="G61" s="18" t="n"/>
      <c r="H61" s="18" t="n"/>
      <c r="I61" s="18" t="n"/>
      <c r="J61" s="18" t="n"/>
    </row>
    <row r="62" ht="12.3" customHeight="1" s="75">
      <c r="A62" s="17" t="n"/>
      <c r="B62" s="1" t="n"/>
      <c r="C62" s="18" t="n"/>
      <c r="D62" s="18" t="n"/>
      <c r="E62" s="1" t="n"/>
      <c r="F62" s="18" t="n"/>
      <c r="G62" s="18" t="n"/>
      <c r="H62" s="18" t="n"/>
      <c r="I62" s="18" t="n"/>
      <c r="J62" s="18" t="n"/>
    </row>
    <row r="63" ht="12.3" customHeight="1" s="75">
      <c r="A63" s="17" t="n"/>
      <c r="B63" s="1" t="n"/>
      <c r="C63" s="18" t="n"/>
      <c r="D63" s="18" t="n"/>
      <c r="E63" s="1" t="n"/>
      <c r="F63" s="18" t="n"/>
      <c r="G63" s="18" t="n"/>
      <c r="H63" s="18" t="n"/>
      <c r="I63" s="18" t="n"/>
      <c r="J63" s="18" t="n"/>
    </row>
    <row r="64" ht="12.3" customHeight="1" s="75">
      <c r="A64" s="17" t="n"/>
      <c r="B64" s="1" t="n"/>
      <c r="C64" s="18" t="n"/>
      <c r="D64" s="18" t="n"/>
      <c r="E64" s="1" t="n"/>
      <c r="F64" s="18" t="n"/>
      <c r="G64" s="18" t="n"/>
      <c r="H64" s="18" t="n"/>
      <c r="I64" s="18" t="n"/>
      <c r="J64" s="18" t="n"/>
    </row>
    <row r="65" ht="12.3" customHeight="1" s="75">
      <c r="A65" s="17" t="n"/>
      <c r="B65" s="1" t="n"/>
      <c r="C65" s="18" t="n"/>
      <c r="D65" s="18" t="n"/>
      <c r="E65" s="1" t="n"/>
      <c r="F65" s="18" t="n"/>
      <c r="G65" s="18" t="n"/>
      <c r="H65" s="18" t="n"/>
      <c r="I65" s="18" t="n"/>
      <c r="J65" s="18" t="n"/>
    </row>
    <row r="66" ht="12.3" customHeight="1" s="75">
      <c r="A66" s="17" t="n"/>
      <c r="B66" s="1" t="n"/>
      <c r="C66" s="18" t="n"/>
      <c r="D66" s="18" t="n"/>
      <c r="E66" s="1" t="n"/>
      <c r="F66" s="18" t="n"/>
      <c r="G66" s="18" t="n"/>
      <c r="H66" s="18" t="n"/>
      <c r="I66" s="18" t="n"/>
      <c r="J66" s="18" t="n"/>
    </row>
    <row r="67" ht="12.3" customHeight="1" s="75">
      <c r="A67" s="17" t="n"/>
      <c r="B67" s="1" t="n"/>
      <c r="C67" s="18" t="n"/>
      <c r="D67" s="18" t="n"/>
      <c r="E67" s="1" t="n"/>
      <c r="F67" s="18" t="n"/>
      <c r="G67" s="18" t="n"/>
      <c r="H67" s="18" t="n"/>
      <c r="I67" s="18" t="n"/>
      <c r="J67" s="18" t="n"/>
    </row>
    <row r="68" ht="12.3" customHeight="1" s="75">
      <c r="A68" s="17" t="n"/>
      <c r="B68" s="1" t="n"/>
      <c r="C68" s="18" t="n"/>
      <c r="D68" s="18" t="n"/>
      <c r="E68" s="1" t="n"/>
      <c r="F68" s="18" t="n"/>
      <c r="G68" s="18" t="n"/>
      <c r="H68" s="18" t="n"/>
      <c r="I68" s="18" t="n"/>
      <c r="J68" s="18" t="n"/>
    </row>
    <row r="69" ht="12.3" customHeight="1" s="75">
      <c r="A69" s="17" t="n"/>
      <c r="B69" s="1" t="n"/>
      <c r="C69" s="18" t="n"/>
      <c r="D69" s="18" t="n"/>
      <c r="E69" s="1" t="n"/>
      <c r="F69" s="18" t="n"/>
      <c r="G69" s="18" t="n"/>
      <c r="H69" s="18" t="n"/>
      <c r="I69" s="18" t="n"/>
      <c r="J69" s="18" t="n"/>
    </row>
    <row r="70" ht="12.3" customHeight="1" s="75">
      <c r="A70" s="17" t="n"/>
      <c r="B70" s="1" t="n"/>
      <c r="C70" s="18" t="n"/>
      <c r="D70" s="18" t="n"/>
      <c r="E70" s="1" t="n"/>
      <c r="F70" s="18" t="n"/>
      <c r="G70" s="18" t="n"/>
      <c r="H70" s="18" t="n"/>
      <c r="I70" s="18" t="n"/>
      <c r="J70" s="18" t="n"/>
    </row>
    <row r="71" ht="12.3" customHeight="1" s="75">
      <c r="A71" s="17" t="n"/>
      <c r="B71" s="1" t="n"/>
      <c r="C71" s="18" t="n"/>
      <c r="D71" s="18" t="n"/>
      <c r="E71" s="1" t="n"/>
      <c r="F71" s="18" t="n"/>
      <c r="G71" s="18" t="n"/>
      <c r="H71" s="18" t="n"/>
      <c r="I71" s="18" t="n"/>
      <c r="J71" s="18" t="n"/>
    </row>
    <row r="72" ht="12.3" customHeight="1" s="75">
      <c r="A72" s="17" t="n"/>
      <c r="B72" s="1" t="n"/>
      <c r="C72" s="18" t="n"/>
      <c r="D72" s="18" t="n"/>
      <c r="E72" s="1" t="n"/>
      <c r="F72" s="18" t="n"/>
      <c r="G72" s="18" t="n"/>
      <c r="H72" s="18" t="n"/>
      <c r="I72" s="18" t="n"/>
      <c r="J72" s="18" t="n"/>
    </row>
    <row r="73" ht="12.3" customHeight="1" s="75">
      <c r="A73" s="17" t="n"/>
      <c r="B73" s="1" t="n"/>
      <c r="C73" s="18" t="n"/>
      <c r="D73" s="18" t="n"/>
      <c r="E73" s="1" t="n"/>
      <c r="F73" s="18" t="n"/>
      <c r="G73" s="18" t="n"/>
      <c r="H73" s="18" t="n"/>
      <c r="I73" s="18" t="n"/>
      <c r="J73" s="18" t="n"/>
    </row>
    <row r="74" ht="12.3" customHeight="1" s="75">
      <c r="A74" s="17" t="n"/>
      <c r="B74" s="1" t="n"/>
      <c r="C74" s="18" t="n"/>
      <c r="D74" s="18" t="n"/>
      <c r="E74" s="1" t="n"/>
      <c r="F74" s="18" t="n"/>
      <c r="G74" s="18" t="n"/>
      <c r="H74" s="18" t="n"/>
      <c r="I74" s="18" t="n"/>
      <c r="J74" s="18" t="n"/>
    </row>
    <row r="75" ht="12.3" customHeight="1" s="75">
      <c r="A75" s="17" t="n"/>
      <c r="B75" s="1" t="n"/>
      <c r="C75" s="18" t="n"/>
      <c r="D75" s="18" t="n"/>
      <c r="E75" s="1" t="n"/>
      <c r="F75" s="18" t="n"/>
      <c r="G75" s="18" t="n"/>
      <c r="H75" s="18" t="n"/>
      <c r="I75" s="18" t="n"/>
      <c r="J75" s="18" t="n"/>
    </row>
    <row r="76" ht="12.3" customHeight="1" s="75">
      <c r="A76" s="17" t="n"/>
      <c r="B76" s="1" t="n"/>
      <c r="C76" s="18" t="n"/>
      <c r="D76" s="18" t="n"/>
      <c r="E76" s="1" t="n"/>
      <c r="F76" s="18" t="n"/>
      <c r="G76" s="18" t="n"/>
      <c r="H76" s="18" t="n"/>
      <c r="I76" s="18" t="n"/>
      <c r="J76" s="18" t="n"/>
    </row>
    <row r="77" ht="12.3" customHeight="1" s="75">
      <c r="A77" s="17" t="n"/>
      <c r="B77" s="1" t="n"/>
      <c r="C77" s="18" t="n"/>
      <c r="D77" s="18" t="n"/>
      <c r="E77" s="1" t="n"/>
      <c r="F77" s="18" t="n"/>
      <c r="G77" s="18" t="n"/>
      <c r="H77" s="18" t="n"/>
      <c r="I77" s="18" t="n"/>
      <c r="J77" s="18" t="n"/>
    </row>
    <row r="78" ht="12.3" customHeight="1" s="75">
      <c r="A78" s="17" t="n"/>
      <c r="B78" s="1" t="n"/>
      <c r="C78" s="18" t="n"/>
      <c r="D78" s="18" t="n"/>
      <c r="E78" s="1" t="n"/>
      <c r="F78" s="18" t="n"/>
      <c r="G78" s="18" t="n"/>
      <c r="H78" s="18" t="n"/>
      <c r="I78" s="18" t="n"/>
      <c r="J78" s="18" t="n"/>
    </row>
    <row r="79" ht="12.3" customHeight="1" s="75">
      <c r="A79" s="17" t="n"/>
      <c r="B79" s="1" t="n"/>
      <c r="C79" s="18" t="n"/>
      <c r="D79" s="18" t="n"/>
      <c r="E79" s="1" t="n"/>
      <c r="F79" s="18" t="n"/>
      <c r="G79" s="18" t="n"/>
      <c r="H79" s="18" t="n"/>
      <c r="I79" s="18" t="n"/>
      <c r="J79" s="18" t="n"/>
    </row>
    <row r="80" ht="12.3" customHeight="1" s="75">
      <c r="A80" s="17" t="n"/>
      <c r="B80" s="1" t="n"/>
      <c r="C80" s="18" t="n"/>
      <c r="D80" s="18" t="n"/>
      <c r="E80" s="1" t="n"/>
      <c r="F80" s="18" t="n"/>
      <c r="G80" s="18" t="n"/>
      <c r="H80" s="18" t="n"/>
      <c r="I80" s="18" t="n"/>
      <c r="J80" s="18" t="n"/>
    </row>
    <row r="81" ht="12.3" customHeight="1" s="75">
      <c r="A81" s="17" t="n"/>
      <c r="B81" s="1" t="n"/>
      <c r="C81" s="18" t="n"/>
      <c r="D81" s="18" t="n"/>
      <c r="E81" s="1" t="n"/>
      <c r="F81" s="18" t="n"/>
      <c r="G81" s="18" t="n"/>
      <c r="H81" s="18" t="n"/>
      <c r="I81" s="18" t="n"/>
      <c r="J81" s="18" t="n"/>
    </row>
    <row r="82" ht="12.3" customHeight="1" s="75">
      <c r="A82" s="17" t="n"/>
      <c r="B82" s="1" t="n"/>
      <c r="C82" s="18" t="n"/>
      <c r="D82" s="18" t="n"/>
      <c r="E82" s="1" t="n"/>
      <c r="F82" s="18" t="n"/>
      <c r="G82" s="18" t="n"/>
      <c r="H82" s="18" t="n"/>
      <c r="I82" s="18" t="n"/>
      <c r="J82" s="18" t="n"/>
    </row>
    <row r="83" ht="12.3" customHeight="1" s="75">
      <c r="A83" s="17" t="n"/>
      <c r="B83" s="1" t="n"/>
      <c r="C83" s="18" t="n"/>
      <c r="D83" s="18" t="n"/>
      <c r="E83" s="1" t="n"/>
      <c r="F83" s="18" t="n"/>
      <c r="G83" s="18" t="n"/>
      <c r="H83" s="18" t="n"/>
      <c r="I83" s="18" t="n"/>
      <c r="J83" s="18" t="n"/>
    </row>
    <row r="84" ht="12.3" customHeight="1" s="75">
      <c r="A84" s="17" t="n"/>
      <c r="B84" s="1" t="n"/>
      <c r="C84" s="18" t="n"/>
      <c r="D84" s="18" t="n"/>
      <c r="E84" s="1" t="n"/>
      <c r="F84" s="18" t="n"/>
      <c r="G84" s="18" t="n"/>
      <c r="H84" s="18" t="n"/>
      <c r="I84" s="18" t="n"/>
      <c r="J84" s="18" t="n"/>
    </row>
    <row r="85" ht="12.3" customHeight="1" s="75">
      <c r="A85" s="17" t="n"/>
      <c r="B85" s="1" t="n"/>
      <c r="C85" s="18" t="n"/>
      <c r="D85" s="18" t="n"/>
      <c r="E85" s="1" t="n"/>
      <c r="F85" s="18" t="n"/>
      <c r="G85" s="18" t="n"/>
      <c r="H85" s="18" t="n"/>
      <c r="I85" s="18" t="n"/>
      <c r="J85" s="18" t="n"/>
    </row>
    <row r="86" ht="12.3" customHeight="1" s="75">
      <c r="A86" s="17" t="n"/>
      <c r="B86" s="1" t="n"/>
      <c r="C86" s="18" t="n"/>
      <c r="D86" s="18" t="n"/>
      <c r="E86" s="1" t="n"/>
      <c r="F86" s="18" t="n"/>
      <c r="G86" s="18" t="n"/>
      <c r="H86" s="18" t="n"/>
      <c r="I86" s="18" t="n"/>
      <c r="J86" s="18" t="n"/>
    </row>
    <row r="87" ht="12.3" customHeight="1" s="75">
      <c r="A87" s="17" t="n"/>
      <c r="B87" s="1" t="n"/>
      <c r="C87" s="18" t="n"/>
      <c r="D87" s="18" t="n"/>
      <c r="E87" s="1" t="n"/>
      <c r="F87" s="18" t="n"/>
      <c r="G87" s="18" t="n"/>
      <c r="H87" s="18" t="n"/>
      <c r="I87" s="18" t="n"/>
      <c r="J87" s="18" t="n"/>
    </row>
    <row r="88" ht="12.3" customHeight="1" s="75">
      <c r="A88" s="17" t="n"/>
      <c r="B88" s="1" t="n"/>
      <c r="C88" s="18" t="n"/>
      <c r="D88" s="18" t="n"/>
      <c r="E88" s="1" t="n"/>
      <c r="F88" s="18" t="n"/>
      <c r="G88" s="18" t="n"/>
      <c r="H88" s="18" t="n"/>
      <c r="I88" s="18" t="n"/>
      <c r="J88" s="18" t="n"/>
    </row>
    <row r="89" ht="12.3" customHeight="1" s="75">
      <c r="A89" s="17" t="n"/>
      <c r="B89" s="1" t="n"/>
      <c r="C89" s="18" t="n"/>
      <c r="D89" s="18" t="n"/>
      <c r="E89" s="1" t="n"/>
      <c r="F89" s="18" t="n"/>
      <c r="G89" s="18" t="n"/>
      <c r="H89" s="18" t="n"/>
      <c r="I89" s="18" t="n"/>
      <c r="J89" s="18" t="n"/>
    </row>
    <row r="90" ht="12.3" customHeight="1" s="75">
      <c r="A90" s="17" t="n"/>
      <c r="B90" s="1" t="n"/>
      <c r="C90" s="18" t="n"/>
      <c r="D90" s="18" t="n"/>
      <c r="E90" s="1" t="n"/>
      <c r="F90" s="18" t="n"/>
      <c r="G90" s="18" t="n"/>
      <c r="H90" s="18" t="n"/>
      <c r="I90" s="18" t="n"/>
      <c r="J90" s="18" t="n"/>
    </row>
    <row r="91" ht="12.3" customHeight="1" s="75">
      <c r="A91" s="17" t="n"/>
      <c r="B91" s="1" t="n"/>
      <c r="C91" s="18" t="n"/>
      <c r="D91" s="18" t="n"/>
      <c r="E91" s="1" t="n"/>
      <c r="F91" s="18" t="n"/>
      <c r="G91" s="18" t="n"/>
      <c r="H91" s="18" t="n"/>
      <c r="I91" s="18" t="n"/>
      <c r="J91" s="18" t="n"/>
    </row>
    <row r="92" ht="12.3" customHeight="1" s="75">
      <c r="A92" s="17" t="n"/>
      <c r="B92" s="1" t="n"/>
      <c r="C92" s="18" t="n"/>
      <c r="D92" s="18" t="n"/>
      <c r="E92" s="1" t="n"/>
      <c r="F92" s="18" t="n"/>
      <c r="G92" s="18" t="n"/>
      <c r="H92" s="18" t="n"/>
      <c r="I92" s="18" t="n"/>
      <c r="J92" s="18" t="n"/>
    </row>
    <row r="93" ht="12.3" customHeight="1" s="75">
      <c r="A93" s="17" t="n"/>
      <c r="B93" s="1" t="n"/>
      <c r="C93" s="18" t="n"/>
      <c r="D93" s="18" t="n"/>
      <c r="E93" s="1" t="n"/>
      <c r="F93" s="18" t="n"/>
      <c r="G93" s="18" t="n"/>
      <c r="H93" s="18" t="n"/>
      <c r="I93" s="18" t="n"/>
      <c r="J93" s="18" t="n"/>
    </row>
    <row r="94" ht="12.3" customHeight="1" s="75">
      <c r="A94" s="17" t="n"/>
      <c r="B94" s="1" t="n"/>
      <c r="C94" s="18" t="n"/>
      <c r="D94" s="18" t="n"/>
      <c r="E94" s="1" t="n"/>
      <c r="F94" s="18" t="n"/>
      <c r="G94" s="18" t="n"/>
      <c r="H94" s="18" t="n"/>
      <c r="I94" s="18" t="n"/>
      <c r="J94" s="18" t="n"/>
    </row>
    <row r="95" ht="12.3" customHeight="1" s="75">
      <c r="A95" s="17" t="n"/>
      <c r="B95" s="1" t="n"/>
      <c r="C95" s="18" t="n"/>
      <c r="D95" s="18" t="n"/>
      <c r="E95" s="1" t="n"/>
      <c r="F95" s="18" t="n"/>
      <c r="G95" s="18" t="n"/>
      <c r="H95" s="18" t="n"/>
      <c r="I95" s="18" t="n"/>
      <c r="J95" s="18" t="n"/>
    </row>
    <row r="96" ht="12.3" customHeight="1" s="75">
      <c r="A96" s="17" t="n"/>
      <c r="B96" s="1" t="n"/>
      <c r="C96" s="18" t="n"/>
      <c r="D96" s="18" t="n"/>
      <c r="E96" s="1" t="n"/>
      <c r="F96" s="18" t="n"/>
      <c r="G96" s="18" t="n"/>
      <c r="H96" s="18" t="n"/>
      <c r="I96" s="18" t="n"/>
      <c r="J96" s="18" t="n"/>
    </row>
    <row r="97" ht="12.3" customHeight="1" s="75">
      <c r="A97" s="17" t="n"/>
      <c r="B97" s="1" t="n"/>
      <c r="C97" s="18" t="n"/>
      <c r="D97" s="18" t="n"/>
      <c r="E97" s="1" t="n"/>
      <c r="F97" s="18" t="n"/>
      <c r="G97" s="18" t="n"/>
      <c r="H97" s="18" t="n"/>
      <c r="I97" s="18" t="n"/>
      <c r="J97" s="18" t="n"/>
    </row>
    <row r="98" ht="12.3" customHeight="1" s="75">
      <c r="A98" s="17" t="n"/>
      <c r="B98" s="1" t="n"/>
      <c r="C98" s="18" t="n"/>
      <c r="D98" s="18" t="n"/>
      <c r="E98" s="1" t="n"/>
      <c r="F98" s="18" t="n"/>
      <c r="G98" s="18" t="n"/>
      <c r="H98" s="18" t="n"/>
      <c r="I98" s="18" t="n"/>
      <c r="J98" s="18" t="n"/>
    </row>
    <row r="99" ht="12.3" customHeight="1" s="75">
      <c r="A99" s="17" t="n"/>
      <c r="B99" s="1" t="n"/>
      <c r="C99" s="18" t="n"/>
      <c r="D99" s="18" t="n"/>
      <c r="E99" s="1" t="n"/>
      <c r="F99" s="18" t="n"/>
      <c r="G99" s="18" t="n"/>
      <c r="H99" s="18" t="n"/>
      <c r="I99" s="18" t="n"/>
      <c r="J99" s="18" t="n"/>
    </row>
    <row r="100" ht="12.3" customHeight="1" s="75">
      <c r="A100" s="17" t="n"/>
      <c r="B100" s="1" t="n"/>
      <c r="C100" s="18" t="n"/>
      <c r="D100" s="18" t="n"/>
      <c r="E100" s="1" t="n"/>
      <c r="F100" s="18" t="n"/>
      <c r="G100" s="18" t="n"/>
      <c r="H100" s="18" t="n"/>
      <c r="I100" s="18" t="n"/>
      <c r="J100" s="18" t="n"/>
    </row>
    <row r="101" ht="12.3" customHeight="1" s="75">
      <c r="A101" s="17" t="n"/>
      <c r="B101" s="1" t="n"/>
      <c r="C101" s="18" t="n"/>
      <c r="D101" s="18" t="n"/>
      <c r="E101" s="1" t="n"/>
      <c r="F101" s="18" t="n"/>
      <c r="G101" s="18" t="n"/>
      <c r="H101" s="18" t="n"/>
      <c r="I101" s="18" t="n"/>
      <c r="J101" s="18" t="n"/>
    </row>
    <row r="102" ht="12.3" customHeight="1" s="75">
      <c r="A102" s="17" t="n"/>
      <c r="B102" s="1" t="n"/>
      <c r="C102" s="18" t="n"/>
      <c r="D102" s="18" t="n"/>
      <c r="E102" s="1" t="n"/>
      <c r="F102" s="18" t="n"/>
      <c r="G102" s="18" t="n"/>
      <c r="H102" s="18" t="n"/>
      <c r="I102" s="18" t="n"/>
      <c r="J102" s="18" t="n"/>
    </row>
    <row r="103" ht="12.3" customHeight="1" s="75">
      <c r="A103" s="17" t="n"/>
      <c r="B103" s="1" t="n"/>
      <c r="C103" s="18" t="n"/>
      <c r="D103" s="18" t="n"/>
      <c r="E103" s="1" t="n"/>
      <c r="F103" s="18" t="n"/>
      <c r="G103" s="18" t="n"/>
      <c r="H103" s="18" t="n"/>
      <c r="I103" s="18" t="n"/>
      <c r="J103" s="18" t="n"/>
    </row>
    <row r="104" ht="12.3" customHeight="1" s="75">
      <c r="A104" s="17" t="n"/>
      <c r="B104" s="1" t="n"/>
      <c r="C104" s="18" t="n"/>
      <c r="D104" s="18" t="n"/>
      <c r="E104" s="1" t="n"/>
      <c r="F104" s="18" t="n"/>
      <c r="G104" s="18" t="n"/>
      <c r="H104" s="18" t="n"/>
      <c r="I104" s="18" t="n"/>
      <c r="J104" s="18" t="n"/>
    </row>
    <row r="105" ht="12.3" customHeight="1" s="75">
      <c r="A105" s="17" t="n"/>
      <c r="B105" s="1" t="n"/>
      <c r="C105" s="18" t="n"/>
      <c r="D105" s="18" t="n"/>
      <c r="E105" s="1" t="n"/>
      <c r="F105" s="18" t="n"/>
      <c r="G105" s="18" t="n"/>
      <c r="H105" s="18" t="n"/>
      <c r="I105" s="18" t="n"/>
      <c r="J105" s="18" t="n"/>
    </row>
    <row r="106" ht="12.3" customHeight="1" s="75">
      <c r="A106" s="17" t="n"/>
      <c r="B106" s="1" t="n"/>
      <c r="C106" s="18" t="n"/>
      <c r="D106" s="18" t="n"/>
      <c r="E106" s="1" t="n"/>
      <c r="F106" s="18" t="n"/>
      <c r="G106" s="18" t="n"/>
      <c r="H106" s="18" t="n"/>
      <c r="I106" s="18" t="n"/>
      <c r="J106" s="18" t="n"/>
    </row>
    <row r="107" ht="12.3" customHeight="1" s="75">
      <c r="A107" s="17" t="n"/>
      <c r="B107" s="1" t="n"/>
      <c r="C107" s="18" t="n"/>
      <c r="D107" s="18" t="n"/>
      <c r="E107" s="1" t="n"/>
      <c r="F107" s="18" t="n"/>
      <c r="G107" s="18" t="n"/>
      <c r="H107" s="18" t="n"/>
      <c r="I107" s="18" t="n"/>
      <c r="J107" s="18" t="n"/>
    </row>
    <row r="108" ht="12.3" customHeight="1" s="75">
      <c r="A108" s="17" t="n"/>
      <c r="B108" s="1" t="n"/>
      <c r="C108" s="18" t="n"/>
      <c r="D108" s="18" t="n"/>
      <c r="E108" s="1" t="n"/>
      <c r="F108" s="18" t="n"/>
      <c r="G108" s="18" t="n"/>
      <c r="H108" s="18" t="n"/>
      <c r="I108" s="18" t="n"/>
      <c r="J108" s="18" t="n"/>
    </row>
    <row r="109" ht="12.3" customHeight="1" s="75">
      <c r="A109" s="17" t="n"/>
      <c r="B109" s="1" t="n"/>
      <c r="C109" s="18" t="n"/>
      <c r="D109" s="18" t="n"/>
      <c r="E109" s="1" t="n"/>
      <c r="F109" s="18" t="n"/>
      <c r="G109" s="18" t="n"/>
      <c r="H109" s="18" t="n"/>
      <c r="I109" s="18" t="n"/>
      <c r="J109" s="18" t="n"/>
    </row>
    <row r="110" ht="12.3" customHeight="1" s="75">
      <c r="A110" s="17" t="n"/>
      <c r="B110" s="1" t="n"/>
      <c r="C110" s="18" t="n"/>
      <c r="D110" s="18" t="n"/>
      <c r="E110" s="1" t="n"/>
      <c r="F110" s="18" t="n"/>
      <c r="G110" s="18" t="n"/>
      <c r="H110" s="18" t="n"/>
      <c r="I110" s="18" t="n"/>
      <c r="J110" s="18" t="n"/>
    </row>
    <row r="111" ht="12.3" customHeight="1" s="75">
      <c r="A111" s="17" t="n"/>
      <c r="B111" s="1" t="n"/>
      <c r="C111" s="18" t="n"/>
      <c r="D111" s="18" t="n"/>
      <c r="E111" s="1" t="n"/>
      <c r="F111" s="18" t="n"/>
      <c r="G111" s="18" t="n"/>
      <c r="H111" s="18" t="n"/>
      <c r="I111" s="18" t="n"/>
      <c r="J111" s="18" t="n"/>
    </row>
    <row r="112" ht="12.3" customHeight="1" s="75">
      <c r="A112" s="17" t="n"/>
      <c r="B112" s="1" t="n"/>
      <c r="C112" s="18" t="n"/>
      <c r="D112" s="18" t="n"/>
      <c r="E112" s="1" t="n"/>
      <c r="F112" s="18" t="n"/>
      <c r="G112" s="18" t="n"/>
      <c r="H112" s="18" t="n"/>
      <c r="I112" s="18" t="n"/>
      <c r="J112" s="18" t="n"/>
    </row>
    <row r="113" ht="12.3" customHeight="1" s="75">
      <c r="A113" s="17" t="n"/>
      <c r="B113" s="1" t="n"/>
      <c r="C113" s="18" t="n"/>
      <c r="D113" s="18" t="n"/>
      <c r="E113" s="1" t="n"/>
      <c r="F113" s="18" t="n"/>
      <c r="G113" s="18" t="n"/>
      <c r="H113" s="18" t="n"/>
      <c r="I113" s="18" t="n"/>
      <c r="J113" s="18" t="n"/>
    </row>
    <row r="114" ht="12.3" customHeight="1" s="75">
      <c r="A114" s="17" t="n"/>
      <c r="B114" s="1" t="n"/>
      <c r="C114" s="18" t="n"/>
      <c r="D114" s="18" t="n"/>
      <c r="E114" s="1" t="n"/>
      <c r="F114" s="18" t="n"/>
      <c r="G114" s="18" t="n"/>
      <c r="H114" s="18" t="n"/>
      <c r="I114" s="18" t="n"/>
      <c r="J114" s="18" t="n"/>
    </row>
    <row r="115" ht="12.3" customHeight="1" s="75">
      <c r="A115" s="17" t="n"/>
      <c r="B115" s="1" t="n"/>
      <c r="C115" s="18" t="n"/>
      <c r="D115" s="18" t="n"/>
      <c r="E115" s="1" t="n"/>
      <c r="F115" s="18" t="n"/>
      <c r="G115" s="18" t="n"/>
      <c r="H115" s="18" t="n"/>
      <c r="I115" s="18" t="n"/>
      <c r="J115" s="18" t="n"/>
    </row>
    <row r="116" ht="12.3" customHeight="1" s="75">
      <c r="A116" s="17" t="n"/>
      <c r="B116" s="1" t="n"/>
      <c r="C116" s="18" t="n"/>
      <c r="D116" s="18" t="n"/>
      <c r="E116" s="1" t="n"/>
      <c r="F116" s="18" t="n"/>
      <c r="G116" s="18" t="n"/>
      <c r="H116" s="18" t="n"/>
      <c r="I116" s="18" t="n"/>
      <c r="J116" s="18" t="n"/>
    </row>
    <row r="117" ht="12.3" customHeight="1" s="75">
      <c r="A117" s="17" t="n"/>
      <c r="B117" s="1" t="n"/>
      <c r="C117" s="18" t="n"/>
      <c r="D117" s="18" t="n"/>
      <c r="E117" s="1" t="n"/>
      <c r="F117" s="18" t="n"/>
      <c r="G117" s="18" t="n"/>
      <c r="H117" s="18" t="n"/>
      <c r="I117" s="18" t="n"/>
      <c r="J117" s="18" t="n"/>
    </row>
    <row r="118" ht="12.3" customHeight="1" s="75">
      <c r="A118" s="17" t="n"/>
      <c r="B118" s="1" t="n"/>
      <c r="C118" s="18" t="n"/>
      <c r="D118" s="18" t="n"/>
      <c r="E118" s="1" t="n"/>
      <c r="F118" s="18" t="n"/>
      <c r="G118" s="18" t="n"/>
      <c r="H118" s="18" t="n"/>
      <c r="I118" s="18" t="n"/>
      <c r="J118" s="18" t="n"/>
    </row>
    <row r="119" ht="12.3" customHeight="1" s="75">
      <c r="A119" s="17" t="n"/>
      <c r="B119" s="1" t="n"/>
      <c r="C119" s="18" t="n"/>
      <c r="D119" s="18" t="n"/>
      <c r="E119" s="1" t="n"/>
      <c r="F119" s="18" t="n"/>
      <c r="G119" s="18" t="n"/>
      <c r="H119" s="18" t="n"/>
      <c r="I119" s="18" t="n"/>
      <c r="J119" s="18" t="n"/>
    </row>
    <row r="120" ht="12.3" customHeight="1" s="75">
      <c r="A120" s="17" t="n"/>
      <c r="B120" s="1" t="n"/>
      <c r="C120" s="18" t="n"/>
      <c r="D120" s="18" t="n"/>
      <c r="E120" s="1" t="n"/>
      <c r="F120" s="18" t="n"/>
      <c r="G120" s="18" t="n"/>
      <c r="H120" s="18" t="n"/>
      <c r="I120" s="18" t="n"/>
      <c r="J120" s="18" t="n"/>
    </row>
    <row r="121" ht="12.3" customHeight="1" s="75">
      <c r="A121" s="17" t="n"/>
      <c r="B121" s="1" t="n"/>
      <c r="C121" s="18" t="n"/>
      <c r="D121" s="18" t="n"/>
      <c r="E121" s="1" t="n"/>
      <c r="F121" s="18" t="n"/>
      <c r="G121" s="18" t="n"/>
      <c r="H121" s="18" t="n"/>
      <c r="I121" s="18" t="n"/>
      <c r="J121" s="18" t="n"/>
    </row>
    <row r="122" ht="12.3" customHeight="1" s="75">
      <c r="A122" s="17" t="n"/>
      <c r="B122" s="1" t="n"/>
      <c r="C122" s="18" t="n"/>
      <c r="D122" s="18" t="n"/>
      <c r="E122" s="1" t="n"/>
      <c r="F122" s="18" t="n"/>
      <c r="G122" s="18" t="n"/>
      <c r="H122" s="18" t="n"/>
      <c r="I122" s="18" t="n"/>
      <c r="J122" s="18" t="n"/>
    </row>
    <row r="123" ht="12.3" customHeight="1" s="75">
      <c r="A123" s="17" t="n"/>
      <c r="B123" s="1" t="n"/>
      <c r="C123" s="18" t="n"/>
      <c r="D123" s="18" t="n"/>
      <c r="E123" s="1" t="n"/>
      <c r="F123" s="18" t="n"/>
      <c r="G123" s="18" t="n"/>
      <c r="H123" s="18" t="n"/>
      <c r="I123" s="18" t="n"/>
      <c r="J123" s="18" t="n"/>
    </row>
    <row r="124" ht="12.3" customHeight="1" s="75">
      <c r="A124" s="17" t="n"/>
      <c r="B124" s="1" t="n"/>
      <c r="C124" s="18" t="n"/>
      <c r="D124" s="18" t="n"/>
      <c r="E124" s="1" t="n"/>
      <c r="F124" s="18" t="n"/>
      <c r="G124" s="18" t="n"/>
      <c r="H124" s="18" t="n"/>
      <c r="I124" s="18" t="n"/>
      <c r="J124" s="18" t="n"/>
    </row>
    <row r="125" ht="12.3" customHeight="1" s="75">
      <c r="A125" s="17" t="n"/>
      <c r="B125" s="1" t="n"/>
      <c r="C125" s="18" t="n"/>
      <c r="D125" s="18" t="n"/>
      <c r="E125" s="1" t="n"/>
      <c r="F125" s="18" t="n"/>
      <c r="G125" s="18" t="n"/>
      <c r="H125" s="18" t="n"/>
      <c r="I125" s="18" t="n"/>
      <c r="J125" s="18" t="n"/>
    </row>
    <row r="126" ht="12.3" customHeight="1" s="75">
      <c r="A126" s="17" t="n"/>
      <c r="B126" s="1" t="n"/>
      <c r="C126" s="18" t="n"/>
      <c r="D126" s="18" t="n"/>
      <c r="E126" s="1" t="n"/>
      <c r="F126" s="18" t="n"/>
      <c r="G126" s="18" t="n"/>
      <c r="H126" s="18" t="n"/>
      <c r="I126" s="18" t="n"/>
      <c r="J126" s="18" t="n"/>
    </row>
    <row r="127" ht="12.3" customHeight="1" s="75">
      <c r="A127" s="17" t="n"/>
      <c r="B127" s="1" t="n"/>
      <c r="C127" s="18" t="n"/>
      <c r="D127" s="18" t="n"/>
      <c r="E127" s="1" t="n"/>
      <c r="F127" s="18" t="n"/>
      <c r="G127" s="18" t="n"/>
      <c r="H127" s="18" t="n"/>
      <c r="I127" s="18" t="n"/>
      <c r="J127" s="18" t="n"/>
    </row>
    <row r="128" ht="12.3" customHeight="1" s="75">
      <c r="A128" s="17" t="n"/>
      <c r="B128" s="1" t="n"/>
      <c r="C128" s="18" t="n"/>
      <c r="D128" s="18" t="n"/>
      <c r="E128" s="1" t="n"/>
      <c r="F128" s="18" t="n"/>
      <c r="G128" s="18" t="n"/>
      <c r="H128" s="18" t="n"/>
      <c r="I128" s="18" t="n"/>
      <c r="J128" s="18" t="n"/>
    </row>
    <row r="129" ht="12.3" customHeight="1" s="75">
      <c r="A129" s="17" t="n"/>
      <c r="B129" s="1" t="n"/>
      <c r="C129" s="18" t="n"/>
      <c r="D129" s="18" t="n"/>
      <c r="E129" s="1" t="n"/>
      <c r="F129" s="18" t="n"/>
      <c r="G129" s="18" t="n"/>
      <c r="H129" s="18" t="n"/>
      <c r="I129" s="18" t="n"/>
      <c r="J129" s="18" t="n"/>
    </row>
    <row r="130" ht="12.3" customHeight="1" s="75">
      <c r="A130" s="17" t="n"/>
      <c r="B130" s="1" t="n"/>
      <c r="C130" s="18" t="n"/>
      <c r="D130" s="18" t="n"/>
      <c r="E130" s="1" t="n"/>
      <c r="F130" s="18" t="n"/>
      <c r="G130" s="18" t="n"/>
      <c r="H130" s="18" t="n"/>
      <c r="I130" s="18" t="n"/>
      <c r="J130" s="18" t="n"/>
    </row>
    <row r="131" ht="12.3" customHeight="1" s="75">
      <c r="A131" s="17" t="n"/>
      <c r="B131" s="1" t="n"/>
      <c r="C131" s="18" t="n"/>
      <c r="D131" s="18" t="n"/>
      <c r="E131" s="1" t="n"/>
      <c r="F131" s="18" t="n"/>
      <c r="G131" s="18" t="n"/>
      <c r="H131" s="18" t="n"/>
      <c r="I131" s="18" t="n"/>
      <c r="J131" s="18" t="n"/>
    </row>
    <row r="132" ht="12.3" customHeight="1" s="75">
      <c r="A132" s="17" t="n"/>
      <c r="B132" s="1" t="n"/>
      <c r="C132" s="18" t="n"/>
      <c r="D132" s="18" t="n"/>
      <c r="E132" s="1" t="n"/>
      <c r="F132" s="18" t="n"/>
      <c r="G132" s="18" t="n"/>
      <c r="H132" s="18" t="n"/>
      <c r="I132" s="18" t="n"/>
      <c r="J132" s="18" t="n"/>
    </row>
    <row r="133" ht="12.3" customHeight="1" s="75">
      <c r="A133" s="17" t="n"/>
      <c r="B133" s="1" t="n"/>
      <c r="C133" s="18" t="n"/>
      <c r="D133" s="18" t="n"/>
      <c r="E133" s="1" t="n"/>
      <c r="F133" s="18" t="n"/>
      <c r="G133" s="18" t="n"/>
      <c r="H133" s="18" t="n"/>
      <c r="I133" s="18" t="n"/>
      <c r="J133" s="18" t="n"/>
    </row>
    <row r="134" ht="12.3" customHeight="1" s="75">
      <c r="A134" s="17" t="n"/>
      <c r="B134" s="1" t="n"/>
      <c r="C134" s="18" t="n"/>
      <c r="D134" s="18" t="n"/>
      <c r="E134" s="1" t="n"/>
      <c r="F134" s="18" t="n"/>
      <c r="G134" s="18" t="n"/>
      <c r="H134" s="18" t="n"/>
      <c r="I134" s="18" t="n"/>
      <c r="J134" s="18" t="n"/>
    </row>
    <row r="135" ht="12.3" customHeight="1" s="75">
      <c r="A135" s="17" t="n"/>
      <c r="B135" s="1" t="n"/>
      <c r="C135" s="18" t="n"/>
      <c r="D135" s="18" t="n"/>
      <c r="E135" s="1" t="n"/>
      <c r="F135" s="18" t="n"/>
      <c r="G135" s="18" t="n"/>
      <c r="H135" s="18" t="n"/>
      <c r="I135" s="18" t="n"/>
      <c r="J135" s="18" t="n"/>
    </row>
    <row r="136" ht="12.3" customHeight="1" s="75">
      <c r="A136" s="17" t="n"/>
      <c r="B136" s="1" t="n"/>
      <c r="C136" s="18" t="n"/>
      <c r="D136" s="18" t="n"/>
      <c r="E136" s="1" t="n"/>
      <c r="F136" s="18" t="n"/>
      <c r="G136" s="18" t="n"/>
      <c r="H136" s="18" t="n"/>
      <c r="I136" s="18" t="n"/>
      <c r="J136" s="18" t="n"/>
    </row>
    <row r="137" ht="12.3" customHeight="1" s="75">
      <c r="A137" s="17" t="n"/>
      <c r="B137" s="1" t="n"/>
      <c r="C137" s="18" t="n"/>
      <c r="D137" s="18" t="n"/>
      <c r="E137" s="1" t="n"/>
      <c r="F137" s="18" t="n"/>
      <c r="G137" s="18" t="n"/>
      <c r="H137" s="18" t="n"/>
      <c r="I137" s="18" t="n"/>
      <c r="J137" s="18" t="n"/>
    </row>
    <row r="138" ht="12.3" customHeight="1" s="75">
      <c r="A138" s="17" t="n"/>
      <c r="B138" s="1" t="n"/>
      <c r="C138" s="18" t="n"/>
      <c r="D138" s="18" t="n"/>
      <c r="E138" s="1" t="n"/>
      <c r="F138" s="18" t="n"/>
      <c r="G138" s="18" t="n"/>
      <c r="H138" s="18" t="n"/>
      <c r="I138" s="18" t="n"/>
      <c r="J138" s="18" t="n"/>
    </row>
    <row r="139" ht="12.3" customHeight="1" s="75">
      <c r="A139" s="17" t="n"/>
      <c r="B139" s="1" t="n"/>
      <c r="C139" s="18" t="n"/>
      <c r="D139" s="18" t="n"/>
      <c r="E139" s="1" t="n"/>
      <c r="F139" s="18" t="n"/>
      <c r="G139" s="18" t="n"/>
      <c r="H139" s="18" t="n"/>
      <c r="I139" s="18" t="n"/>
      <c r="J139" s="18" t="n"/>
    </row>
    <row r="140" ht="12.3" customHeight="1" s="75">
      <c r="A140" s="17" t="n"/>
      <c r="B140" s="1" t="n"/>
      <c r="C140" s="18" t="n"/>
      <c r="D140" s="18" t="n"/>
      <c r="E140" s="1" t="n"/>
      <c r="F140" s="18" t="n"/>
      <c r="G140" s="18" t="n"/>
      <c r="H140" s="18" t="n"/>
      <c r="I140" s="18" t="n"/>
      <c r="J140" s="18" t="n"/>
    </row>
    <row r="141" ht="12.3" customHeight="1" s="75">
      <c r="A141" s="17" t="n"/>
      <c r="B141" s="1" t="n"/>
      <c r="C141" s="18" t="n"/>
      <c r="D141" s="18" t="n"/>
      <c r="E141" s="1" t="n"/>
      <c r="F141" s="18" t="n"/>
      <c r="G141" s="18" t="n"/>
      <c r="H141" s="18" t="n"/>
      <c r="I141" s="18" t="n"/>
      <c r="J141" s="18" t="n"/>
    </row>
    <row r="142" ht="12.3" customHeight="1" s="75">
      <c r="A142" s="17" t="n"/>
      <c r="B142" s="1" t="n"/>
      <c r="C142" s="18" t="n"/>
      <c r="D142" s="18" t="n"/>
      <c r="E142" s="1" t="n"/>
      <c r="F142" s="18" t="n"/>
      <c r="G142" s="18" t="n"/>
      <c r="H142" s="18" t="n"/>
      <c r="I142" s="18" t="n"/>
      <c r="J142" s="18" t="n"/>
    </row>
    <row r="143" ht="12.3" customHeight="1" s="75">
      <c r="A143" s="17" t="n"/>
      <c r="B143" s="1" t="n"/>
      <c r="C143" s="18" t="n"/>
      <c r="D143" s="18" t="n"/>
      <c r="E143" s="1" t="n"/>
      <c r="F143" s="18" t="n"/>
      <c r="G143" s="18" t="n"/>
      <c r="H143" s="18" t="n"/>
      <c r="I143" s="18" t="n"/>
      <c r="J143" s="18" t="n"/>
    </row>
    <row r="144" ht="12.3" customHeight="1" s="75">
      <c r="A144" s="17" t="n"/>
      <c r="B144" s="1" t="n"/>
      <c r="C144" s="18" t="n"/>
      <c r="D144" s="18" t="n"/>
      <c r="E144" s="1" t="n"/>
      <c r="F144" s="18" t="n"/>
      <c r="G144" s="18" t="n"/>
      <c r="H144" s="18" t="n"/>
      <c r="I144" s="18" t="n"/>
      <c r="J144" s="18" t="n"/>
    </row>
    <row r="145" ht="12.3" customHeight="1" s="75">
      <c r="A145" s="17" t="n"/>
      <c r="B145" s="1" t="n"/>
      <c r="C145" s="18" t="n"/>
      <c r="D145" s="18" t="n"/>
      <c r="E145" s="1" t="n"/>
      <c r="F145" s="18" t="n"/>
      <c r="G145" s="18" t="n"/>
      <c r="H145" s="18" t="n"/>
      <c r="I145" s="18" t="n"/>
      <c r="J145" s="18" t="n"/>
    </row>
    <row r="146" ht="12.3" customHeight="1" s="75">
      <c r="A146" s="17" t="n"/>
      <c r="B146" s="1" t="n"/>
      <c r="C146" s="18" t="n"/>
      <c r="D146" s="18" t="n"/>
      <c r="E146" s="1" t="n"/>
      <c r="F146" s="18" t="n"/>
      <c r="G146" s="18" t="n"/>
      <c r="H146" s="18" t="n"/>
      <c r="I146" s="18" t="n"/>
      <c r="J146" s="18" t="n"/>
    </row>
    <row r="147" ht="12.3" customHeight="1" s="75">
      <c r="A147" s="17" t="n"/>
      <c r="B147" s="1" t="n"/>
      <c r="C147" s="18" t="n"/>
      <c r="D147" s="18" t="n"/>
      <c r="E147" s="1" t="n"/>
      <c r="F147" s="18" t="n"/>
      <c r="G147" s="18" t="n"/>
      <c r="H147" s="18" t="n"/>
      <c r="I147" s="18" t="n"/>
      <c r="J147" s="18" t="n"/>
    </row>
    <row r="148" ht="12.3" customHeight="1" s="75">
      <c r="A148" s="17" t="n"/>
      <c r="B148" s="1" t="n"/>
      <c r="C148" s="18" t="n"/>
      <c r="D148" s="18" t="n"/>
      <c r="E148" s="1" t="n"/>
      <c r="F148" s="18" t="n"/>
      <c r="G148" s="18" t="n"/>
      <c r="H148" s="18" t="n"/>
      <c r="I148" s="18" t="n"/>
      <c r="J148" s="18" t="n"/>
    </row>
    <row r="149" ht="12.3" customHeight="1" s="75">
      <c r="A149" s="17" t="n"/>
      <c r="B149" s="1" t="n"/>
      <c r="C149" s="18" t="n"/>
      <c r="D149" s="18" t="n"/>
      <c r="E149" s="1" t="n"/>
      <c r="F149" s="18" t="n"/>
      <c r="G149" s="18" t="n"/>
      <c r="H149" s="18" t="n"/>
      <c r="I149" s="18" t="n"/>
      <c r="J149" s="18" t="n"/>
    </row>
    <row r="150" ht="12.3" customHeight="1" s="75">
      <c r="A150" s="17" t="n"/>
      <c r="B150" s="1" t="n"/>
      <c r="C150" s="18" t="n"/>
      <c r="D150" s="18" t="n"/>
      <c r="E150" s="1" t="n"/>
      <c r="F150" s="18" t="n"/>
      <c r="G150" s="18" t="n"/>
      <c r="H150" s="18" t="n"/>
      <c r="I150" s="18" t="n"/>
      <c r="J150" s="18" t="n"/>
    </row>
    <row r="151" ht="12.3" customHeight="1" s="75">
      <c r="A151" s="17" t="n"/>
      <c r="B151" s="1" t="n"/>
      <c r="C151" s="18" t="n"/>
      <c r="D151" s="18" t="n"/>
      <c r="E151" s="1" t="n"/>
      <c r="F151" s="18" t="n"/>
      <c r="G151" s="18" t="n"/>
      <c r="H151" s="18" t="n"/>
      <c r="I151" s="18" t="n"/>
      <c r="J151" s="18" t="n"/>
    </row>
    <row r="152" ht="12.3" customHeight="1" s="75">
      <c r="A152" s="17" t="n"/>
      <c r="B152" s="1" t="n"/>
      <c r="C152" s="18" t="n"/>
      <c r="D152" s="18" t="n"/>
      <c r="E152" s="1" t="n"/>
      <c r="F152" s="18" t="n"/>
      <c r="G152" s="18" t="n"/>
      <c r="H152" s="18" t="n"/>
      <c r="I152" s="18" t="n"/>
      <c r="J152" s="18" t="n"/>
    </row>
    <row r="153" ht="12.3" customHeight="1" s="75">
      <c r="A153" s="17" t="n"/>
      <c r="B153" s="1" t="n"/>
      <c r="C153" s="18" t="n"/>
      <c r="D153" s="18" t="n"/>
      <c r="E153" s="1" t="n"/>
      <c r="F153" s="18" t="n"/>
      <c r="G153" s="18" t="n"/>
      <c r="H153" s="18" t="n"/>
      <c r="I153" s="18" t="n"/>
      <c r="J153" s="18" t="n"/>
    </row>
    <row r="154" ht="12.3" customHeight="1" s="75">
      <c r="A154" s="17" t="n"/>
      <c r="B154" s="1" t="n"/>
      <c r="C154" s="18" t="n"/>
      <c r="D154" s="18" t="n"/>
      <c r="E154" s="1" t="n"/>
      <c r="F154" s="18" t="n"/>
      <c r="G154" s="18" t="n"/>
      <c r="H154" s="18" t="n"/>
      <c r="I154" s="18" t="n"/>
      <c r="J154" s="18" t="n"/>
    </row>
    <row r="155" ht="12.3" customHeight="1" s="75">
      <c r="A155" s="17" t="n"/>
      <c r="B155" s="1" t="n"/>
      <c r="C155" s="18" t="n"/>
      <c r="D155" s="18" t="n"/>
      <c r="E155" s="1" t="n"/>
      <c r="F155" s="18" t="n"/>
      <c r="G155" s="18" t="n"/>
      <c r="H155" s="18" t="n"/>
      <c r="I155" s="18" t="n"/>
      <c r="J155" s="18" t="n"/>
    </row>
    <row r="156" ht="12.3" customHeight="1" s="75">
      <c r="A156" s="17" t="n"/>
      <c r="B156" s="1" t="n"/>
      <c r="C156" s="18" t="n"/>
      <c r="D156" s="18" t="n"/>
      <c r="E156" s="1" t="n"/>
      <c r="F156" s="18" t="n"/>
      <c r="G156" s="18" t="n"/>
      <c r="H156" s="18" t="n"/>
      <c r="I156" s="18" t="n"/>
      <c r="J156" s="18" t="n"/>
    </row>
    <row r="157" ht="12.3" customHeight="1" s="75">
      <c r="A157" s="17" t="n"/>
      <c r="B157" s="1" t="n"/>
      <c r="C157" s="18" t="n"/>
      <c r="D157" s="18" t="n"/>
      <c r="E157" s="1" t="n"/>
      <c r="F157" s="18" t="n"/>
      <c r="G157" s="18" t="n"/>
      <c r="H157" s="18" t="n"/>
      <c r="I157" s="18" t="n"/>
      <c r="J157" s="18" t="n"/>
    </row>
    <row r="158" ht="12.3" customHeight="1" s="75">
      <c r="A158" s="17" t="n"/>
      <c r="B158" s="1" t="n"/>
      <c r="C158" s="18" t="n"/>
      <c r="D158" s="18" t="n"/>
      <c r="E158" s="1" t="n"/>
      <c r="F158" s="18" t="n"/>
      <c r="G158" s="18" t="n"/>
      <c r="H158" s="18" t="n"/>
      <c r="I158" s="18" t="n"/>
      <c r="J158" s="18" t="n"/>
    </row>
    <row r="159" ht="12.3" customHeight="1" s="75">
      <c r="A159" s="17" t="n"/>
      <c r="B159" s="1" t="n"/>
      <c r="C159" s="18" t="n"/>
      <c r="D159" s="18" t="n"/>
      <c r="E159" s="1" t="n"/>
      <c r="F159" s="18" t="n"/>
      <c r="G159" s="18" t="n"/>
      <c r="H159" s="18" t="n"/>
      <c r="I159" s="18" t="n"/>
      <c r="J159" s="18" t="n"/>
    </row>
    <row r="160" ht="12.3" customHeight="1" s="75">
      <c r="A160" s="17" t="n"/>
      <c r="B160" s="1" t="n"/>
      <c r="C160" s="18" t="n"/>
      <c r="D160" s="18" t="n"/>
      <c r="E160" s="1" t="n"/>
      <c r="F160" s="18" t="n"/>
      <c r="G160" s="18" t="n"/>
      <c r="H160" s="18" t="n"/>
      <c r="I160" s="18" t="n"/>
      <c r="J160" s="18" t="n"/>
    </row>
    <row r="161" ht="12.3" customHeight="1" s="75">
      <c r="A161" s="17" t="n"/>
      <c r="B161" s="1" t="n"/>
      <c r="C161" s="18" t="n"/>
      <c r="D161" s="18" t="n"/>
      <c r="E161" s="1" t="n"/>
      <c r="F161" s="18" t="n"/>
      <c r="G161" s="18" t="n"/>
      <c r="H161" s="18" t="n"/>
      <c r="I161" s="18" t="n"/>
      <c r="J161" s="18" t="n"/>
    </row>
    <row r="162" ht="12.3" customHeight="1" s="75">
      <c r="A162" s="17" t="n"/>
      <c r="B162" s="1" t="n"/>
      <c r="C162" s="18" t="n"/>
      <c r="D162" s="18" t="n"/>
      <c r="E162" s="1" t="n"/>
      <c r="F162" s="18" t="n"/>
      <c r="G162" s="18" t="n"/>
      <c r="H162" s="18" t="n"/>
      <c r="I162" s="18" t="n"/>
      <c r="J162" s="18" t="n"/>
    </row>
    <row r="163" ht="12.3" customHeight="1" s="75">
      <c r="A163" s="17" t="n"/>
      <c r="B163" s="1" t="n"/>
      <c r="C163" s="18" t="n"/>
      <c r="D163" s="18" t="n"/>
      <c r="E163" s="1" t="n"/>
      <c r="F163" s="18" t="n"/>
      <c r="G163" s="18" t="n"/>
      <c r="H163" s="18" t="n"/>
      <c r="I163" s="18" t="n"/>
      <c r="J163" s="18" t="n"/>
    </row>
    <row r="164" ht="12.3" customHeight="1" s="75">
      <c r="A164" s="17" t="n"/>
      <c r="B164" s="1" t="n"/>
      <c r="C164" s="18" t="n"/>
      <c r="D164" s="18" t="n"/>
      <c r="E164" s="1" t="n"/>
      <c r="F164" s="18" t="n"/>
      <c r="G164" s="18" t="n"/>
      <c r="H164" s="18" t="n"/>
      <c r="I164" s="18" t="n"/>
      <c r="J164" s="18" t="n"/>
    </row>
    <row r="165" ht="12.3" customHeight="1" s="75">
      <c r="A165" s="17" t="n"/>
      <c r="B165" s="1" t="n"/>
      <c r="C165" s="18" t="n"/>
      <c r="D165" s="18" t="n"/>
      <c r="E165" s="1" t="n"/>
      <c r="F165" s="18" t="n"/>
      <c r="G165" s="18" t="n"/>
      <c r="H165" s="18" t="n"/>
      <c r="I165" s="18" t="n"/>
      <c r="J165" s="18" t="n"/>
    </row>
    <row r="166" ht="12.3" customHeight="1" s="75">
      <c r="A166" s="17" t="n"/>
      <c r="B166" s="1" t="n"/>
      <c r="C166" s="18" t="n"/>
      <c r="D166" s="18" t="n"/>
      <c r="E166" s="1" t="n"/>
      <c r="F166" s="18" t="n"/>
      <c r="G166" s="18" t="n"/>
      <c r="H166" s="18" t="n"/>
      <c r="I166" s="18" t="n"/>
      <c r="J166" s="18" t="n"/>
    </row>
    <row r="167" ht="12.3" customHeight="1" s="75">
      <c r="A167" s="17" t="n"/>
      <c r="B167" s="1" t="n"/>
      <c r="C167" s="18" t="n"/>
      <c r="D167" s="18" t="n"/>
      <c r="E167" s="1" t="n"/>
      <c r="F167" s="18" t="n"/>
      <c r="G167" s="18" t="n"/>
      <c r="H167" s="18" t="n"/>
      <c r="I167" s="18" t="n"/>
      <c r="J167" s="18" t="n"/>
    </row>
    <row r="168" ht="12.3" customHeight="1" s="75">
      <c r="A168" s="17" t="n"/>
      <c r="B168" s="1" t="n"/>
      <c r="C168" s="18" t="n"/>
      <c r="D168" s="18" t="n"/>
      <c r="E168" s="1" t="n"/>
      <c r="F168" s="18" t="n"/>
      <c r="G168" s="18" t="n"/>
      <c r="H168" s="18" t="n"/>
      <c r="I168" s="18" t="n"/>
      <c r="J168" s="18" t="n"/>
    </row>
    <row r="169" ht="12.3" customHeight="1" s="75">
      <c r="A169" s="17" t="n"/>
      <c r="B169" s="1" t="n"/>
      <c r="C169" s="18" t="n"/>
      <c r="D169" s="18" t="n"/>
      <c r="E169" s="1" t="n"/>
      <c r="F169" s="18" t="n"/>
      <c r="G169" s="18" t="n"/>
      <c r="H169" s="18" t="n"/>
      <c r="I169" s="18" t="n"/>
      <c r="J169" s="18" t="n"/>
    </row>
    <row r="170" ht="12.3" customHeight="1" s="75">
      <c r="A170" s="17" t="n"/>
      <c r="B170" s="1" t="n"/>
      <c r="C170" s="18" t="n"/>
      <c r="D170" s="18" t="n"/>
      <c r="E170" s="1" t="n"/>
      <c r="F170" s="18" t="n"/>
      <c r="G170" s="18" t="n"/>
      <c r="H170" s="18" t="n"/>
      <c r="I170" s="18" t="n"/>
      <c r="J170" s="18" t="n"/>
    </row>
    <row r="171" ht="12.3" customHeight="1" s="75">
      <c r="A171" s="17" t="n"/>
      <c r="B171" s="1" t="n"/>
      <c r="C171" s="18" t="n"/>
      <c r="D171" s="18" t="n"/>
      <c r="E171" s="1" t="n"/>
      <c r="F171" s="18" t="n"/>
      <c r="G171" s="18" t="n"/>
      <c r="H171" s="18" t="n"/>
      <c r="I171" s="18" t="n"/>
      <c r="J171" s="18" t="n"/>
    </row>
    <row r="172" ht="12.3" customHeight="1" s="75">
      <c r="A172" s="17" t="n"/>
      <c r="B172" s="1" t="n"/>
      <c r="C172" s="18" t="n"/>
      <c r="D172" s="18" t="n"/>
      <c r="E172" s="1" t="n"/>
      <c r="F172" s="18" t="n"/>
      <c r="G172" s="18" t="n"/>
      <c r="H172" s="18" t="n"/>
      <c r="I172" s="18" t="n"/>
      <c r="J172" s="18" t="n"/>
    </row>
    <row r="173" ht="12.3" customHeight="1" s="75">
      <c r="A173" s="17" t="n"/>
      <c r="B173" s="1" t="n"/>
      <c r="C173" s="18" t="n"/>
      <c r="D173" s="18" t="n"/>
      <c r="E173" s="1" t="n"/>
      <c r="F173" s="18" t="n"/>
      <c r="G173" s="18" t="n"/>
      <c r="H173" s="18" t="n"/>
      <c r="I173" s="18" t="n"/>
      <c r="J173" s="18" t="n"/>
    </row>
    <row r="174" ht="12.3" customHeight="1" s="75">
      <c r="A174" s="17" t="n"/>
      <c r="B174" s="1" t="n"/>
      <c r="C174" s="18" t="n"/>
      <c r="D174" s="18" t="n"/>
      <c r="E174" s="1" t="n"/>
      <c r="F174" s="18" t="n"/>
      <c r="G174" s="18" t="n"/>
      <c r="H174" s="18" t="n"/>
      <c r="I174" s="18" t="n"/>
      <c r="J174" s="18" t="n"/>
    </row>
    <row r="175" ht="12.3" customHeight="1" s="75">
      <c r="A175" s="17" t="n"/>
      <c r="B175" s="1" t="n"/>
      <c r="C175" s="18" t="n"/>
      <c r="D175" s="18" t="n"/>
      <c r="E175" s="1" t="n"/>
      <c r="F175" s="18" t="n"/>
      <c r="G175" s="18" t="n"/>
      <c r="H175" s="18" t="n"/>
      <c r="I175" s="18" t="n"/>
      <c r="J175" s="18" t="n"/>
    </row>
    <row r="176" ht="12.3" customHeight="1" s="75">
      <c r="A176" s="17" t="n"/>
      <c r="B176" s="1" t="n"/>
      <c r="C176" s="18" t="n"/>
      <c r="D176" s="18" t="n"/>
      <c r="E176" s="1" t="n"/>
      <c r="F176" s="18" t="n"/>
      <c r="G176" s="18" t="n"/>
      <c r="H176" s="18" t="n"/>
      <c r="I176" s="18" t="n"/>
      <c r="J176" s="18" t="n"/>
    </row>
    <row r="177" ht="12.3" customHeight="1" s="75">
      <c r="A177" s="17" t="n"/>
      <c r="B177" s="1" t="n"/>
      <c r="C177" s="18" t="n"/>
      <c r="D177" s="18" t="n"/>
      <c r="E177" s="1" t="n"/>
      <c r="F177" s="18" t="n"/>
      <c r="G177" s="18" t="n"/>
      <c r="H177" s="18" t="n"/>
      <c r="I177" s="18" t="n"/>
      <c r="J177" s="18" t="n"/>
    </row>
    <row r="178" ht="12.3" customHeight="1" s="75">
      <c r="A178" s="17" t="n"/>
      <c r="B178" s="1" t="n"/>
      <c r="C178" s="18" t="n"/>
      <c r="D178" s="18" t="n"/>
      <c r="E178" s="1" t="n"/>
      <c r="F178" s="18" t="n"/>
      <c r="G178" s="18" t="n"/>
      <c r="H178" s="18" t="n"/>
      <c r="I178" s="18" t="n"/>
      <c r="J178" s="18" t="n"/>
    </row>
    <row r="179" ht="12.3" customHeight="1" s="75">
      <c r="A179" s="17" t="n"/>
      <c r="B179" s="1" t="n"/>
      <c r="C179" s="18" t="n"/>
      <c r="D179" s="18" t="n"/>
      <c r="E179" s="1" t="n"/>
      <c r="F179" s="18" t="n"/>
      <c r="G179" s="18" t="n"/>
      <c r="H179" s="18" t="n"/>
      <c r="I179" s="18" t="n"/>
      <c r="J179" s="18" t="n"/>
    </row>
    <row r="180" ht="12.3" customHeight="1" s="75">
      <c r="A180" s="17" t="n"/>
      <c r="B180" s="1" t="n"/>
      <c r="C180" s="18" t="n"/>
      <c r="D180" s="18" t="n"/>
      <c r="E180" s="1" t="n"/>
      <c r="F180" s="18" t="n"/>
      <c r="G180" s="18" t="n"/>
      <c r="H180" s="18" t="n"/>
      <c r="I180" s="18" t="n"/>
      <c r="J180" s="18" t="n"/>
    </row>
    <row r="181" ht="12.3" customHeight="1" s="75">
      <c r="A181" s="17" t="n"/>
      <c r="B181" s="1" t="n"/>
      <c r="C181" s="18" t="n"/>
      <c r="D181" s="18" t="n"/>
      <c r="E181" s="1" t="n"/>
      <c r="F181" s="18" t="n"/>
      <c r="G181" s="18" t="n"/>
      <c r="H181" s="18" t="n"/>
      <c r="I181" s="18" t="n"/>
      <c r="J181" s="18" t="n"/>
    </row>
    <row r="182" ht="12.3" customHeight="1" s="75">
      <c r="A182" s="17" t="n"/>
      <c r="B182" s="1" t="n"/>
      <c r="C182" s="18" t="n"/>
      <c r="D182" s="18" t="n"/>
      <c r="E182" s="1" t="n"/>
      <c r="F182" s="18" t="n"/>
      <c r="G182" s="18" t="n"/>
      <c r="H182" s="18" t="n"/>
      <c r="I182" s="18" t="n"/>
      <c r="J182" s="18" t="n"/>
    </row>
    <row r="183" ht="12.3" customHeight="1" s="75">
      <c r="A183" s="17" t="n"/>
      <c r="B183" s="1" t="n"/>
      <c r="C183" s="18" t="n"/>
      <c r="D183" s="18" t="n"/>
      <c r="E183" s="1" t="n"/>
      <c r="F183" s="18" t="n"/>
      <c r="G183" s="18" t="n"/>
      <c r="H183" s="18" t="n"/>
      <c r="I183" s="18" t="n"/>
      <c r="J183" s="18" t="n"/>
    </row>
    <row r="184" ht="12.3" customHeight="1" s="75">
      <c r="A184" s="17" t="n"/>
      <c r="B184" s="1" t="n"/>
      <c r="C184" s="18" t="n"/>
      <c r="D184" s="18" t="n"/>
      <c r="E184" s="1" t="n"/>
      <c r="F184" s="18" t="n"/>
      <c r="G184" s="18" t="n"/>
      <c r="H184" s="18" t="n"/>
      <c r="I184" s="18" t="n"/>
      <c r="J184" s="18" t="n"/>
    </row>
    <row r="185" ht="12.3" customHeight="1" s="75">
      <c r="A185" s="17" t="n"/>
      <c r="B185" s="1" t="n"/>
      <c r="C185" s="18" t="n"/>
      <c r="D185" s="18" t="n"/>
      <c r="E185" s="1" t="n"/>
      <c r="F185" s="18" t="n"/>
      <c r="G185" s="18" t="n"/>
      <c r="H185" s="18" t="n"/>
      <c r="I185" s="18" t="n"/>
      <c r="J185" s="18" t="n"/>
    </row>
    <row r="186" ht="12.3" customHeight="1" s="75">
      <c r="A186" s="17" t="n"/>
      <c r="B186" s="1" t="n"/>
      <c r="C186" s="18" t="n"/>
      <c r="D186" s="18" t="n"/>
      <c r="E186" s="1" t="n"/>
      <c r="F186" s="18" t="n"/>
      <c r="G186" s="18" t="n"/>
      <c r="H186" s="18" t="n"/>
      <c r="I186" s="18" t="n"/>
      <c r="J186" s="18" t="n"/>
    </row>
    <row r="187" ht="12.3" customHeight="1" s="75">
      <c r="A187" s="17" t="n"/>
      <c r="B187" s="1" t="n"/>
      <c r="C187" s="18" t="n"/>
      <c r="D187" s="18" t="n"/>
      <c r="E187" s="1" t="n"/>
      <c r="F187" s="18" t="n"/>
      <c r="G187" s="18" t="n"/>
      <c r="H187" s="18" t="n"/>
      <c r="I187" s="18" t="n"/>
      <c r="J187" s="18" t="n"/>
    </row>
    <row r="188" ht="12.3" customHeight="1" s="75">
      <c r="A188" s="17" t="n"/>
      <c r="B188" s="1" t="n"/>
      <c r="C188" s="18" t="n"/>
      <c r="D188" s="18" t="n"/>
      <c r="E188" s="1" t="n"/>
      <c r="F188" s="18" t="n"/>
      <c r="G188" s="18" t="n"/>
      <c r="H188" s="18" t="n"/>
      <c r="I188" s="18" t="n"/>
      <c r="J188" s="18" t="n"/>
    </row>
    <row r="189" ht="12.3" customHeight="1" s="75">
      <c r="A189" s="17" t="n"/>
      <c r="B189" s="1" t="n"/>
      <c r="C189" s="18" t="n"/>
      <c r="D189" s="18" t="n"/>
      <c r="E189" s="1" t="n"/>
      <c r="F189" s="18" t="n"/>
      <c r="G189" s="18" t="n"/>
      <c r="H189" s="18" t="n"/>
      <c r="I189" s="18" t="n"/>
      <c r="J189" s="18" t="n"/>
    </row>
    <row r="190" ht="12.3" customHeight="1" s="75">
      <c r="A190" s="17" t="n"/>
      <c r="B190" s="1" t="n"/>
      <c r="C190" s="18" t="n"/>
      <c r="D190" s="18" t="n"/>
      <c r="E190" s="1" t="n"/>
      <c r="F190" s="18" t="n"/>
      <c r="G190" s="18" t="n"/>
      <c r="H190" s="18" t="n"/>
      <c r="I190" s="18" t="n"/>
      <c r="J190" s="18" t="n"/>
    </row>
    <row r="191" ht="12.3" customHeight="1" s="75">
      <c r="A191" s="17" t="n"/>
      <c r="B191" s="1" t="n"/>
      <c r="C191" s="18" t="n"/>
      <c r="D191" s="18" t="n"/>
      <c r="E191" s="1" t="n"/>
      <c r="F191" s="18" t="n"/>
      <c r="G191" s="18" t="n"/>
      <c r="H191" s="18" t="n"/>
      <c r="I191" s="18" t="n"/>
      <c r="J191" s="18" t="n"/>
    </row>
    <row r="192" ht="12.3" customHeight="1" s="75">
      <c r="A192" s="17" t="n"/>
      <c r="B192" s="1" t="n"/>
      <c r="C192" s="18" t="n"/>
      <c r="D192" s="18" t="n"/>
      <c r="E192" s="1" t="n"/>
      <c r="F192" s="18" t="n"/>
      <c r="G192" s="18" t="n"/>
      <c r="H192" s="18" t="n"/>
      <c r="I192" s="18" t="n"/>
      <c r="J192" s="18" t="n"/>
    </row>
    <row r="193" ht="12.3" customHeight="1" s="75">
      <c r="A193" s="17" t="n"/>
      <c r="B193" s="1" t="n"/>
      <c r="C193" s="18" t="n"/>
      <c r="D193" s="18" t="n"/>
      <c r="E193" s="1" t="n"/>
      <c r="F193" s="18" t="n"/>
      <c r="G193" s="18" t="n"/>
      <c r="H193" s="18" t="n"/>
      <c r="I193" s="18" t="n"/>
      <c r="J193" s="18" t="n"/>
    </row>
    <row r="194" ht="12.3" customHeight="1" s="75">
      <c r="A194" s="17" t="n"/>
      <c r="B194" s="1" t="n"/>
      <c r="C194" s="18" t="n"/>
      <c r="D194" s="18" t="n"/>
      <c r="E194" s="1" t="n"/>
      <c r="F194" s="18" t="n"/>
      <c r="G194" s="18" t="n"/>
      <c r="H194" s="18" t="n"/>
      <c r="I194" s="18" t="n"/>
      <c r="J194" s="18" t="n"/>
    </row>
    <row r="195" ht="12.3" customHeight="1" s="75">
      <c r="A195" s="17" t="n"/>
      <c r="B195" s="1" t="n"/>
      <c r="C195" s="18" t="n"/>
      <c r="D195" s="18" t="n"/>
      <c r="E195" s="1" t="n"/>
      <c r="F195" s="18" t="n"/>
      <c r="G195" s="18" t="n"/>
      <c r="H195" s="18" t="n"/>
      <c r="I195" s="18" t="n"/>
      <c r="J195" s="18" t="n"/>
    </row>
    <row r="196" ht="12.3" customHeight="1" s="75">
      <c r="A196" s="17" t="n"/>
      <c r="B196" s="1" t="n"/>
      <c r="C196" s="18" t="n"/>
      <c r="D196" s="18" t="n"/>
      <c r="E196" s="1" t="n"/>
      <c r="F196" s="18" t="n"/>
      <c r="G196" s="18" t="n"/>
      <c r="H196" s="18" t="n"/>
      <c r="I196" s="18" t="n"/>
      <c r="J196" s="18" t="n"/>
    </row>
    <row r="197" ht="12.3" customHeight="1" s="75">
      <c r="A197" s="17" t="n"/>
      <c r="B197" s="1" t="n"/>
      <c r="C197" s="18" t="n"/>
      <c r="D197" s="18" t="n"/>
      <c r="E197" s="1" t="n"/>
      <c r="F197" s="18" t="n"/>
      <c r="G197" s="18" t="n"/>
      <c r="H197" s="18" t="n"/>
      <c r="I197" s="18" t="n"/>
      <c r="J197" s="18" t="n"/>
    </row>
    <row r="198" ht="12.3" customHeight="1" s="75">
      <c r="A198" s="17" t="n"/>
      <c r="B198" s="1" t="n"/>
      <c r="C198" s="18" t="n"/>
      <c r="D198" s="18" t="n"/>
      <c r="E198" s="1" t="n"/>
      <c r="F198" s="18" t="n"/>
      <c r="G198" s="18" t="n"/>
      <c r="H198" s="18" t="n"/>
      <c r="I198" s="18" t="n"/>
      <c r="J198" s="18" t="n"/>
    </row>
    <row r="199" ht="12.3" customHeight="1" s="75">
      <c r="A199" s="17" t="n"/>
      <c r="B199" s="1" t="n"/>
      <c r="C199" s="18" t="n"/>
      <c r="D199" s="18" t="n"/>
      <c r="E199" s="1" t="n"/>
      <c r="F199" s="18" t="n"/>
      <c r="G199" s="18" t="n"/>
      <c r="H199" s="18" t="n"/>
      <c r="I199" s="18" t="n"/>
      <c r="J199" s="18" t="n"/>
    </row>
    <row r="200" ht="12.3" customHeight="1" s="75">
      <c r="A200" s="17" t="n"/>
      <c r="B200" s="1" t="n"/>
      <c r="C200" s="18" t="n"/>
      <c r="D200" s="18" t="n"/>
      <c r="E200" s="1" t="n"/>
      <c r="F200" s="18" t="n"/>
      <c r="G200" s="18" t="n"/>
      <c r="H200" s="18" t="n"/>
      <c r="I200" s="18" t="n"/>
      <c r="J200" s="18" t="n"/>
    </row>
    <row r="201" ht="12.3" customHeight="1" s="75">
      <c r="A201" s="17" t="n"/>
      <c r="B201" s="1" t="n"/>
      <c r="C201" s="18" t="n"/>
      <c r="D201" s="18" t="n"/>
      <c r="E201" s="1" t="n"/>
      <c r="F201" s="18" t="n"/>
      <c r="G201" s="18" t="n"/>
      <c r="H201" s="18" t="n"/>
      <c r="I201" s="18" t="n"/>
      <c r="J201" s="18" t="n"/>
    </row>
    <row r="202" ht="12.3" customHeight="1" s="75">
      <c r="A202" s="17" t="n"/>
      <c r="B202" s="1" t="n"/>
      <c r="C202" s="18" t="n"/>
      <c r="D202" s="18" t="n"/>
      <c r="E202" s="1" t="n"/>
      <c r="F202" s="18" t="n"/>
      <c r="G202" s="18" t="n"/>
      <c r="H202" s="18" t="n"/>
      <c r="I202" s="18" t="n"/>
      <c r="J202" s="18" t="n"/>
    </row>
    <row r="203" ht="12.3" customHeight="1" s="75">
      <c r="A203" s="17" t="n"/>
      <c r="B203" s="1" t="n"/>
      <c r="C203" s="18" t="n"/>
      <c r="D203" s="18" t="n"/>
      <c r="E203" s="1" t="n"/>
      <c r="F203" s="18" t="n"/>
      <c r="G203" s="18" t="n"/>
      <c r="H203" s="18" t="n"/>
      <c r="I203" s="18" t="n"/>
      <c r="J203" s="18" t="n"/>
    </row>
    <row r="204" ht="12.3" customHeight="1" s="75">
      <c r="A204" s="17" t="n"/>
      <c r="B204" s="1" t="n"/>
      <c r="C204" s="18" t="n"/>
      <c r="D204" s="18" t="n"/>
      <c r="E204" s="1" t="n"/>
      <c r="F204" s="18" t="n"/>
      <c r="G204" s="18" t="n"/>
      <c r="H204" s="18" t="n"/>
      <c r="I204" s="18" t="n"/>
      <c r="J204" s="18" t="n"/>
    </row>
    <row r="205" ht="12.3" customHeight="1" s="75">
      <c r="A205" s="17" t="n"/>
      <c r="B205" s="1" t="n"/>
      <c r="C205" s="18" t="n"/>
      <c r="D205" s="18" t="n"/>
      <c r="E205" s="1" t="n"/>
      <c r="F205" s="18" t="n"/>
      <c r="G205" s="18" t="n"/>
      <c r="H205" s="18" t="n"/>
      <c r="I205" s="18" t="n"/>
      <c r="J205" s="18" t="n"/>
    </row>
    <row r="206" ht="12.3" customHeight="1" s="75">
      <c r="A206" s="17" t="n"/>
      <c r="B206" s="1" t="n"/>
      <c r="C206" s="18" t="n"/>
      <c r="D206" s="18" t="n"/>
      <c r="E206" s="1" t="n"/>
      <c r="F206" s="18" t="n"/>
      <c r="G206" s="18" t="n"/>
      <c r="H206" s="18" t="n"/>
      <c r="I206" s="18" t="n"/>
      <c r="J206" s="18" t="n"/>
    </row>
    <row r="207" ht="12.3" customHeight="1" s="75">
      <c r="A207" s="17" t="n"/>
      <c r="B207" s="1" t="n"/>
      <c r="C207" s="18" t="n"/>
      <c r="D207" s="18" t="n"/>
      <c r="E207" s="1" t="n"/>
      <c r="F207" s="18" t="n"/>
      <c r="G207" s="18" t="n"/>
      <c r="H207" s="18" t="n"/>
      <c r="I207" s="18" t="n"/>
      <c r="J207" s="18" t="n"/>
    </row>
    <row r="208" ht="12.3" customHeight="1" s="75">
      <c r="A208" s="17" t="n"/>
      <c r="B208" s="1" t="n"/>
      <c r="C208" s="18" t="n"/>
      <c r="D208" s="18" t="n"/>
      <c r="E208" s="1" t="n"/>
      <c r="F208" s="18" t="n"/>
      <c r="G208" s="18" t="n"/>
      <c r="H208" s="18" t="n"/>
      <c r="I208" s="18" t="n"/>
      <c r="J208" s="18" t="n"/>
    </row>
    <row r="209" ht="12.3" customHeight="1" s="75">
      <c r="A209" s="17" t="n"/>
      <c r="B209" s="1" t="n"/>
      <c r="C209" s="18" t="n"/>
      <c r="D209" s="18" t="n"/>
      <c r="E209" s="1" t="n"/>
      <c r="F209" s="18" t="n"/>
      <c r="G209" s="18" t="n"/>
      <c r="H209" s="18" t="n"/>
      <c r="I209" s="18" t="n"/>
      <c r="J209" s="18" t="n"/>
    </row>
    <row r="210" ht="12.3" customHeight="1" s="75">
      <c r="A210" s="17" t="n"/>
      <c r="B210" s="1" t="n"/>
      <c r="C210" s="18" t="n"/>
      <c r="D210" s="18" t="n"/>
      <c r="E210" s="1" t="n"/>
      <c r="F210" s="18" t="n"/>
      <c r="G210" s="18" t="n"/>
      <c r="H210" s="18" t="n"/>
      <c r="I210" s="18" t="n"/>
      <c r="J210" s="18" t="n"/>
    </row>
    <row r="211" ht="12.3" customHeight="1" s="75">
      <c r="A211" s="17" t="n"/>
      <c r="B211" s="1" t="n"/>
      <c r="C211" s="18" t="n"/>
      <c r="D211" s="18" t="n"/>
      <c r="E211" s="1" t="n"/>
      <c r="F211" s="18" t="n"/>
      <c r="G211" s="18" t="n"/>
      <c r="H211" s="18" t="n"/>
      <c r="I211" s="18" t="n"/>
      <c r="J211" s="18" t="n"/>
    </row>
    <row r="212" ht="12.3" customHeight="1" s="75">
      <c r="A212" s="17" t="n"/>
      <c r="B212" s="1" t="n"/>
      <c r="C212" s="18" t="n"/>
      <c r="D212" s="18" t="n"/>
      <c r="E212" s="1" t="n"/>
      <c r="F212" s="18" t="n"/>
      <c r="G212" s="18" t="n"/>
      <c r="H212" s="18" t="n"/>
      <c r="I212" s="18" t="n"/>
      <c r="J212" s="18" t="n"/>
    </row>
    <row r="213" ht="12.3" customHeight="1" s="75">
      <c r="A213" s="17" t="n"/>
      <c r="B213" s="1" t="n"/>
      <c r="C213" s="18" t="n"/>
      <c r="D213" s="18" t="n"/>
      <c r="E213" s="1" t="n"/>
      <c r="F213" s="18" t="n"/>
      <c r="G213" s="18" t="n"/>
      <c r="H213" s="18" t="n"/>
      <c r="I213" s="18" t="n"/>
      <c r="J213" s="18" t="n"/>
    </row>
    <row r="214" ht="12.3" customHeight="1" s="75">
      <c r="A214" s="17" t="n"/>
      <c r="B214" s="1" t="n"/>
      <c r="C214" s="18" t="n"/>
      <c r="D214" s="18" t="n"/>
      <c r="E214" s="1" t="n"/>
      <c r="F214" s="18" t="n"/>
      <c r="G214" s="18" t="n"/>
      <c r="H214" s="18" t="n"/>
      <c r="I214" s="18" t="n"/>
      <c r="J214" s="18" t="n"/>
    </row>
    <row r="215" ht="12.3" customHeight="1" s="75">
      <c r="A215" s="17" t="n"/>
      <c r="B215" s="1" t="n"/>
      <c r="C215" s="18" t="n"/>
      <c r="D215" s="18" t="n"/>
      <c r="E215" s="1" t="n"/>
      <c r="F215" s="18" t="n"/>
      <c r="G215" s="18" t="n"/>
      <c r="H215" s="18" t="n"/>
      <c r="I215" s="18" t="n"/>
      <c r="J215" s="18" t="n"/>
    </row>
    <row r="216" ht="12.3" customHeight="1" s="75">
      <c r="A216" s="17" t="n"/>
      <c r="B216" s="1" t="n"/>
      <c r="C216" s="18" t="n"/>
      <c r="D216" s="18" t="n"/>
      <c r="E216" s="1" t="n"/>
      <c r="F216" s="18" t="n"/>
      <c r="G216" s="18" t="n"/>
      <c r="H216" s="18" t="n"/>
      <c r="I216" s="18" t="n"/>
      <c r="J216" s="18" t="n"/>
    </row>
    <row r="217" ht="12.3" customHeight="1" s="75">
      <c r="A217" s="17" t="n"/>
      <c r="B217" s="1" t="n"/>
      <c r="C217" s="18" t="n"/>
      <c r="D217" s="18" t="n"/>
      <c r="E217" s="1" t="n"/>
      <c r="F217" s="18" t="n"/>
      <c r="G217" s="18" t="n"/>
      <c r="H217" s="18" t="n"/>
      <c r="I217" s="18" t="n"/>
      <c r="J217" s="18" t="n"/>
    </row>
    <row r="218" ht="12.3" customHeight="1" s="75">
      <c r="A218" s="17" t="n"/>
      <c r="B218" s="1" t="n"/>
      <c r="C218" s="18" t="n"/>
      <c r="D218" s="18" t="n"/>
      <c r="E218" s="1" t="n"/>
      <c r="F218" s="18" t="n"/>
      <c r="G218" s="18" t="n"/>
      <c r="H218" s="18" t="n"/>
      <c r="I218" s="18" t="n"/>
      <c r="J218" s="18" t="n"/>
    </row>
    <row r="219" ht="12.3" customHeight="1" s="75">
      <c r="A219" s="17" t="n"/>
      <c r="B219" s="1" t="n"/>
      <c r="C219" s="18" t="n"/>
      <c r="D219" s="18" t="n"/>
      <c r="E219" s="1" t="n"/>
      <c r="F219" s="18" t="n"/>
      <c r="G219" s="18" t="n"/>
      <c r="H219" s="18" t="n"/>
      <c r="I219" s="18" t="n"/>
      <c r="J219" s="18" t="n"/>
    </row>
    <row r="220" ht="12.3" customHeight="1" s="75">
      <c r="A220" s="17" t="n"/>
      <c r="B220" s="1" t="n"/>
      <c r="C220" s="18" t="n"/>
      <c r="D220" s="18" t="n"/>
      <c r="E220" s="1" t="n"/>
      <c r="F220" s="18" t="n"/>
      <c r="G220" s="18" t="n"/>
      <c r="H220" s="18" t="n"/>
      <c r="I220" s="18" t="n"/>
      <c r="J220" s="18" t="n"/>
    </row>
    <row r="221" ht="12.3" customHeight="1" s="75">
      <c r="A221" s="17" t="n"/>
      <c r="B221" s="1" t="n"/>
      <c r="C221" s="18" t="n"/>
      <c r="D221" s="18" t="n"/>
      <c r="E221" s="1" t="n"/>
      <c r="F221" s="18" t="n"/>
      <c r="G221" s="18" t="n"/>
      <c r="H221" s="18" t="n"/>
      <c r="I221" s="18" t="n"/>
      <c r="J221" s="18" t="n"/>
    </row>
    <row r="222" ht="12.3" customHeight="1" s="75">
      <c r="A222" s="17" t="n"/>
      <c r="B222" s="1" t="n"/>
      <c r="C222" s="18" t="n"/>
      <c r="D222" s="18" t="n"/>
      <c r="E222" s="1" t="n"/>
      <c r="F222" s="18" t="n"/>
      <c r="G222" s="18" t="n"/>
      <c r="H222" s="18" t="n"/>
      <c r="I222" s="18" t="n"/>
      <c r="J222" s="18" t="n"/>
    </row>
    <row r="223" ht="12.3" customHeight="1" s="75">
      <c r="A223" s="17" t="n"/>
      <c r="B223" s="1" t="n"/>
      <c r="C223" s="18" t="n"/>
      <c r="D223" s="18" t="n"/>
      <c r="E223" s="1" t="n"/>
      <c r="F223" s="18" t="n"/>
      <c r="G223" s="18" t="n"/>
      <c r="H223" s="18" t="n"/>
      <c r="I223" s="18" t="n"/>
      <c r="J223" s="18" t="n"/>
    </row>
    <row r="224" ht="12.3" customHeight="1" s="75">
      <c r="A224" s="17" t="n"/>
      <c r="B224" s="1" t="n"/>
      <c r="C224" s="18" t="n"/>
      <c r="D224" s="18" t="n"/>
      <c r="E224" s="1" t="n"/>
      <c r="F224" s="18" t="n"/>
      <c r="G224" s="18" t="n"/>
      <c r="H224" s="18" t="n"/>
      <c r="I224" s="18" t="n"/>
      <c r="J224" s="18" t="n"/>
    </row>
    <row r="225" ht="12.3" customHeight="1" s="75">
      <c r="A225" s="17" t="n"/>
      <c r="B225" s="1" t="n"/>
      <c r="C225" s="18" t="n"/>
      <c r="D225" s="18" t="n"/>
      <c r="E225" s="1" t="n"/>
      <c r="F225" s="18" t="n"/>
      <c r="G225" s="18" t="n"/>
      <c r="H225" s="18" t="n"/>
      <c r="I225" s="18" t="n"/>
      <c r="J225" s="18" t="n"/>
    </row>
    <row r="226" ht="12.3" customHeight="1" s="75">
      <c r="A226" s="17" t="n"/>
      <c r="B226" s="1" t="n"/>
      <c r="C226" s="18" t="n"/>
      <c r="D226" s="18" t="n"/>
      <c r="E226" s="1" t="n"/>
      <c r="F226" s="18" t="n"/>
      <c r="G226" s="18" t="n"/>
      <c r="H226" s="18" t="n"/>
      <c r="I226" s="18" t="n"/>
      <c r="J226" s="18" t="n"/>
    </row>
    <row r="227" ht="12.3" customHeight="1" s="75">
      <c r="A227" s="17" t="n"/>
      <c r="B227" s="1" t="n"/>
      <c r="C227" s="18" t="n"/>
      <c r="D227" s="18" t="n"/>
      <c r="E227" s="1" t="n"/>
      <c r="F227" s="18" t="n"/>
      <c r="G227" s="18" t="n"/>
      <c r="H227" s="18" t="n"/>
      <c r="I227" s="18" t="n"/>
      <c r="J227" s="18" t="n"/>
    </row>
    <row r="228" ht="12.3" customHeight="1" s="75">
      <c r="A228" s="17" t="n"/>
      <c r="B228" s="1" t="n"/>
      <c r="C228" s="18" t="n"/>
      <c r="D228" s="18" t="n"/>
      <c r="E228" s="1" t="n"/>
      <c r="F228" s="18" t="n"/>
      <c r="G228" s="18" t="n"/>
      <c r="H228" s="18" t="n"/>
      <c r="I228" s="18" t="n"/>
      <c r="J228" s="18" t="n"/>
    </row>
    <row r="229" ht="12.3" customHeight="1" s="75">
      <c r="A229" s="17" t="n"/>
      <c r="B229" s="1" t="n"/>
      <c r="C229" s="18" t="n"/>
      <c r="D229" s="18" t="n"/>
      <c r="E229" s="1" t="n"/>
      <c r="F229" s="18" t="n"/>
      <c r="G229" s="18" t="n"/>
      <c r="H229" s="18" t="n"/>
      <c r="I229" s="18" t="n"/>
      <c r="J229" s="18" t="n"/>
    </row>
    <row r="230" ht="12.3" customHeight="1" s="75">
      <c r="A230" s="17" t="n"/>
      <c r="B230" s="1" t="n"/>
      <c r="C230" s="18" t="n"/>
      <c r="D230" s="18" t="n"/>
      <c r="E230" s="1" t="n"/>
      <c r="F230" s="18" t="n"/>
      <c r="G230" s="18" t="n"/>
      <c r="H230" s="18" t="n"/>
      <c r="I230" s="18" t="n"/>
      <c r="J230" s="18" t="n"/>
    </row>
    <row r="231" ht="12.3" customHeight="1" s="75">
      <c r="A231" s="17" t="n"/>
      <c r="B231" s="1" t="n"/>
      <c r="C231" s="18" t="n"/>
      <c r="D231" s="18" t="n"/>
      <c r="E231" s="1" t="n"/>
      <c r="F231" s="18" t="n"/>
      <c r="G231" s="18" t="n"/>
      <c r="H231" s="18" t="n"/>
      <c r="I231" s="18" t="n"/>
      <c r="J231" s="18" t="n"/>
    </row>
    <row r="232" ht="12.3" customHeight="1" s="75">
      <c r="A232" s="17" t="n"/>
      <c r="B232" s="1" t="n"/>
      <c r="C232" s="18" t="n"/>
      <c r="D232" s="18" t="n"/>
      <c r="E232" s="1" t="n"/>
      <c r="F232" s="18" t="n"/>
      <c r="G232" s="18" t="n"/>
      <c r="H232" s="18" t="n"/>
      <c r="I232" s="18" t="n"/>
      <c r="J232" s="18" t="n"/>
    </row>
    <row r="233" ht="12.3" customHeight="1" s="75">
      <c r="A233" s="17" t="n"/>
      <c r="B233" s="1" t="n"/>
      <c r="C233" s="18" t="n"/>
      <c r="D233" s="18" t="n"/>
      <c r="E233" s="1" t="n"/>
      <c r="F233" s="18" t="n"/>
      <c r="G233" s="18" t="n"/>
      <c r="H233" s="18" t="n"/>
      <c r="I233" s="18" t="n"/>
      <c r="J233" s="18" t="n"/>
    </row>
    <row r="234" ht="12.3" customHeight="1" s="75">
      <c r="A234" s="17" t="n"/>
      <c r="B234" s="1" t="n"/>
      <c r="C234" s="18" t="n"/>
      <c r="D234" s="18" t="n"/>
      <c r="E234" s="1" t="n"/>
      <c r="F234" s="18" t="n"/>
      <c r="G234" s="18" t="n"/>
      <c r="H234" s="18" t="n"/>
      <c r="I234" s="18" t="n"/>
      <c r="J234" s="18" t="n"/>
    </row>
    <row r="235" ht="12.3" customHeight="1" s="75">
      <c r="A235" s="17" t="n"/>
      <c r="B235" s="1" t="n"/>
      <c r="C235" s="18" t="n"/>
      <c r="D235" s="18" t="n"/>
      <c r="E235" s="1" t="n"/>
      <c r="F235" s="18" t="n"/>
      <c r="G235" s="18" t="n"/>
      <c r="H235" s="18" t="n"/>
      <c r="I235" s="18" t="n"/>
      <c r="J235" s="18" t="n"/>
    </row>
    <row r="236" ht="12.3" customHeight="1" s="75">
      <c r="A236" s="17" t="n"/>
      <c r="B236" s="1" t="n"/>
      <c r="C236" s="18" t="n"/>
      <c r="D236" s="18" t="n"/>
      <c r="E236" s="1" t="n"/>
      <c r="F236" s="18" t="n"/>
      <c r="G236" s="18" t="n"/>
      <c r="H236" s="18" t="n"/>
      <c r="I236" s="18" t="n"/>
      <c r="J236" s="18" t="n"/>
    </row>
    <row r="237" ht="12.3" customHeight="1" s="75">
      <c r="A237" s="17" t="n"/>
      <c r="B237" s="1" t="n"/>
      <c r="C237" s="18" t="n"/>
      <c r="D237" s="18" t="n"/>
      <c r="E237" s="1" t="n"/>
      <c r="F237" s="18" t="n"/>
      <c r="G237" s="18" t="n"/>
      <c r="H237" s="18" t="n"/>
      <c r="I237" s="18" t="n"/>
      <c r="J237" s="18" t="n"/>
    </row>
    <row r="238" ht="12.3" customHeight="1" s="75">
      <c r="A238" s="17" t="n"/>
      <c r="B238" s="1" t="n"/>
      <c r="C238" s="18" t="n"/>
      <c r="D238" s="18" t="n"/>
      <c r="E238" s="1" t="n"/>
      <c r="F238" s="18" t="n"/>
      <c r="G238" s="18" t="n"/>
      <c r="H238" s="18" t="n"/>
      <c r="I238" s="18" t="n"/>
      <c r="J238" s="18" t="n"/>
    </row>
    <row r="239" ht="12.3" customHeight="1" s="75">
      <c r="A239" s="17" t="n"/>
      <c r="B239" s="1" t="n"/>
      <c r="C239" s="18" t="n"/>
      <c r="D239" s="18" t="n"/>
      <c r="E239" s="1" t="n"/>
      <c r="F239" s="18" t="n"/>
      <c r="G239" s="18" t="n"/>
      <c r="H239" s="18" t="n"/>
      <c r="I239" s="18" t="n"/>
      <c r="J239" s="18" t="n"/>
    </row>
    <row r="240" ht="12.3" customHeight="1" s="75">
      <c r="A240" s="17" t="n"/>
      <c r="B240" s="1" t="n"/>
      <c r="C240" s="18" t="n"/>
      <c r="D240" s="18" t="n"/>
      <c r="E240" s="1" t="n"/>
      <c r="F240" s="18" t="n"/>
      <c r="G240" s="18" t="n"/>
      <c r="H240" s="18" t="n"/>
      <c r="I240" s="18" t="n"/>
      <c r="J240" s="18" t="n"/>
    </row>
    <row r="241" ht="12.3" customHeight="1" s="75">
      <c r="A241" s="17" t="n"/>
      <c r="B241" s="1" t="n"/>
      <c r="C241" s="18" t="n"/>
      <c r="D241" s="18" t="n"/>
      <c r="E241" s="1" t="n"/>
      <c r="F241" s="18" t="n"/>
      <c r="G241" s="18" t="n"/>
      <c r="H241" s="18" t="n"/>
      <c r="I241" s="18" t="n"/>
      <c r="J241" s="18" t="n"/>
    </row>
    <row r="242" ht="12.3" customHeight="1" s="75">
      <c r="A242" s="17" t="n"/>
      <c r="B242" s="1" t="n"/>
      <c r="C242" s="18" t="n"/>
      <c r="D242" s="18" t="n"/>
      <c r="E242" s="1" t="n"/>
      <c r="F242" s="18" t="n"/>
      <c r="G242" s="18" t="n"/>
      <c r="H242" s="18" t="n"/>
      <c r="I242" s="18" t="n"/>
      <c r="J242" s="18" t="n"/>
    </row>
    <row r="243" ht="12.3" customHeight="1" s="75">
      <c r="A243" s="17" t="n"/>
      <c r="B243" s="1" t="n"/>
      <c r="C243" s="18" t="n"/>
      <c r="D243" s="18" t="n"/>
      <c r="E243" s="1" t="n"/>
      <c r="F243" s="18" t="n"/>
      <c r="G243" s="18" t="n"/>
      <c r="H243" s="18" t="n"/>
      <c r="I243" s="18" t="n"/>
      <c r="J243" s="18" t="n"/>
    </row>
    <row r="244" ht="12.3" customHeight="1" s="75">
      <c r="A244" s="17" t="n"/>
      <c r="B244" s="1" t="n"/>
      <c r="C244" s="18" t="n"/>
      <c r="D244" s="18" t="n"/>
      <c r="E244" s="1" t="n"/>
      <c r="F244" s="18" t="n"/>
      <c r="G244" s="18" t="n"/>
      <c r="H244" s="18" t="n"/>
      <c r="I244" s="18" t="n"/>
      <c r="J244" s="18" t="n"/>
    </row>
    <row r="245" ht="12.3" customHeight="1" s="75">
      <c r="A245" s="17" t="n"/>
      <c r="B245" s="1" t="n"/>
      <c r="C245" s="18" t="n"/>
      <c r="D245" s="18" t="n"/>
      <c r="E245" s="1" t="n"/>
      <c r="F245" s="18" t="n"/>
      <c r="G245" s="18" t="n"/>
      <c r="H245" s="18" t="n"/>
      <c r="I245" s="18" t="n"/>
      <c r="J245" s="18" t="n"/>
    </row>
    <row r="246" ht="12.3" customHeight="1" s="75">
      <c r="A246" s="17" t="n"/>
      <c r="B246" s="1" t="n"/>
      <c r="C246" s="18" t="n"/>
      <c r="D246" s="18" t="n"/>
      <c r="E246" s="1" t="n"/>
      <c r="F246" s="18" t="n"/>
      <c r="G246" s="18" t="n"/>
      <c r="H246" s="18" t="n"/>
      <c r="I246" s="18" t="n"/>
      <c r="J246" s="18" t="n"/>
    </row>
    <row r="247" ht="12.3" customHeight="1" s="75">
      <c r="A247" s="17" t="n"/>
      <c r="B247" s="1" t="n"/>
      <c r="C247" s="18" t="n"/>
      <c r="D247" s="18" t="n"/>
      <c r="E247" s="1" t="n"/>
      <c r="F247" s="18" t="n"/>
      <c r="G247" s="18" t="n"/>
      <c r="H247" s="18" t="n"/>
      <c r="I247" s="18" t="n"/>
      <c r="J247" s="18" t="n"/>
    </row>
    <row r="248" ht="12.3" customHeight="1" s="75">
      <c r="A248" s="17" t="n"/>
      <c r="B248" s="1" t="n"/>
      <c r="C248" s="18" t="n"/>
      <c r="D248" s="18" t="n"/>
      <c r="E248" s="1" t="n"/>
      <c r="F248" s="18" t="n"/>
      <c r="G248" s="18" t="n"/>
      <c r="H248" s="18" t="n"/>
      <c r="I248" s="18" t="n"/>
      <c r="J248" s="18" t="n"/>
    </row>
    <row r="249" ht="12.3" customHeight="1" s="75">
      <c r="A249" s="17" t="n"/>
      <c r="B249" s="1" t="n"/>
      <c r="C249" s="18" t="n"/>
      <c r="D249" s="18" t="n"/>
      <c r="E249" s="1" t="n"/>
      <c r="F249" s="18" t="n"/>
      <c r="G249" s="18" t="n"/>
      <c r="H249" s="18" t="n"/>
      <c r="I249" s="18" t="n"/>
      <c r="J249" s="18" t="n"/>
    </row>
    <row r="250" ht="12.3" customHeight="1" s="75">
      <c r="A250" s="17" t="n"/>
      <c r="B250" s="1" t="n"/>
      <c r="C250" s="18" t="n"/>
      <c r="D250" s="18" t="n"/>
      <c r="E250" s="1" t="n"/>
      <c r="F250" s="18" t="n"/>
      <c r="G250" s="18" t="n"/>
      <c r="H250" s="18" t="n"/>
      <c r="I250" s="18" t="n"/>
      <c r="J250" s="18" t="n"/>
    </row>
    <row r="251" ht="12.3" customHeight="1" s="75">
      <c r="A251" s="17" t="n"/>
      <c r="B251" s="1" t="n"/>
      <c r="C251" s="18" t="n"/>
      <c r="D251" s="18" t="n"/>
      <c r="E251" s="1" t="n"/>
      <c r="F251" s="18" t="n"/>
      <c r="G251" s="18" t="n"/>
      <c r="H251" s="18" t="n"/>
      <c r="I251" s="18" t="n"/>
      <c r="J251" s="18" t="n"/>
    </row>
    <row r="252" ht="12.3" customHeight="1" s="75">
      <c r="A252" s="17" t="n"/>
      <c r="B252" s="1" t="n"/>
      <c r="C252" s="18" t="n"/>
      <c r="D252" s="18" t="n"/>
      <c r="E252" s="1" t="n"/>
      <c r="F252" s="18" t="n"/>
      <c r="G252" s="18" t="n"/>
      <c r="H252" s="18" t="n"/>
      <c r="I252" s="18" t="n"/>
      <c r="J252" s="18" t="n"/>
    </row>
    <row r="253" ht="12.3" customHeight="1" s="75">
      <c r="A253" s="17" t="n"/>
      <c r="B253" s="1" t="n"/>
      <c r="C253" s="18" t="n"/>
      <c r="D253" s="18" t="n"/>
      <c r="E253" s="1" t="n"/>
      <c r="F253" s="18" t="n"/>
      <c r="G253" s="18" t="n"/>
      <c r="H253" s="18" t="n"/>
      <c r="I253" s="18" t="n"/>
      <c r="J253" s="18" t="n"/>
    </row>
    <row r="254" ht="12.3" customHeight="1" s="75">
      <c r="A254" s="17" t="n"/>
      <c r="B254" s="1" t="n"/>
      <c r="C254" s="18" t="n"/>
      <c r="D254" s="18" t="n"/>
      <c r="E254" s="1" t="n"/>
      <c r="F254" s="18" t="n"/>
      <c r="G254" s="18" t="n"/>
      <c r="H254" s="18" t="n"/>
      <c r="I254" s="18" t="n"/>
      <c r="J254" s="18" t="n"/>
    </row>
    <row r="255" ht="12.3" customHeight="1" s="75">
      <c r="A255" s="17" t="n"/>
      <c r="B255" s="1" t="n"/>
      <c r="C255" s="18" t="n"/>
      <c r="D255" s="18" t="n"/>
      <c r="E255" s="1" t="n"/>
      <c r="F255" s="18" t="n"/>
      <c r="G255" s="18" t="n"/>
      <c r="H255" s="18" t="n"/>
      <c r="I255" s="18" t="n"/>
      <c r="J255" s="18" t="n"/>
    </row>
    <row r="256" ht="12.3" customHeight="1" s="75">
      <c r="A256" s="17" t="n"/>
      <c r="B256" s="1" t="n"/>
      <c r="C256" s="18" t="n"/>
      <c r="D256" s="18" t="n"/>
      <c r="E256" s="1" t="n"/>
      <c r="F256" s="18" t="n"/>
      <c r="G256" s="18" t="n"/>
      <c r="H256" s="18" t="n"/>
      <c r="I256" s="18" t="n"/>
      <c r="J256" s="18" t="n"/>
    </row>
    <row r="257" ht="12.3" customHeight="1" s="75">
      <c r="A257" s="17" t="n"/>
      <c r="B257" s="1" t="n"/>
      <c r="C257" s="18" t="n"/>
      <c r="D257" s="18" t="n"/>
      <c r="E257" s="1" t="n"/>
      <c r="F257" s="18" t="n"/>
      <c r="G257" s="18" t="n"/>
      <c r="H257" s="18" t="n"/>
      <c r="I257" s="18" t="n"/>
      <c r="J257" s="18" t="n"/>
    </row>
    <row r="258" ht="12.3" customHeight="1" s="75">
      <c r="A258" s="17" t="n"/>
      <c r="B258" s="1" t="n"/>
      <c r="C258" s="18" t="n"/>
      <c r="D258" s="18" t="n"/>
      <c r="E258" s="1" t="n"/>
      <c r="F258" s="18" t="n"/>
      <c r="G258" s="18" t="n"/>
      <c r="H258" s="18" t="n"/>
      <c r="I258" s="18" t="n"/>
      <c r="J258" s="18" t="n"/>
    </row>
    <row r="259" ht="12.3" customHeight="1" s="75">
      <c r="A259" s="17" t="n"/>
      <c r="B259" s="1" t="n"/>
      <c r="C259" s="18" t="n"/>
      <c r="D259" s="18" t="n"/>
      <c r="E259" s="1" t="n"/>
      <c r="F259" s="18" t="n"/>
      <c r="G259" s="18" t="n"/>
      <c r="H259" s="18" t="n"/>
      <c r="I259" s="18" t="n"/>
      <c r="J259" s="18" t="n"/>
    </row>
    <row r="260" ht="12.3" customHeight="1" s="75">
      <c r="A260" s="17" t="n"/>
      <c r="B260" s="1" t="n"/>
      <c r="C260" s="18" t="n"/>
      <c r="D260" s="18" t="n"/>
      <c r="E260" s="1" t="n"/>
      <c r="F260" s="18" t="n"/>
      <c r="G260" s="18" t="n"/>
      <c r="H260" s="18" t="n"/>
      <c r="I260" s="18" t="n"/>
      <c r="J260" s="18" t="n"/>
    </row>
    <row r="261" ht="12.3" customHeight="1" s="75">
      <c r="A261" s="17" t="n"/>
      <c r="B261" s="1" t="n"/>
      <c r="C261" s="18" t="n"/>
      <c r="D261" s="18" t="n"/>
      <c r="E261" s="1" t="n"/>
      <c r="F261" s="18" t="n"/>
      <c r="G261" s="18" t="n"/>
      <c r="H261" s="18" t="n"/>
      <c r="I261" s="18" t="n"/>
      <c r="J261" s="18" t="n"/>
    </row>
    <row r="262" ht="12.3" customHeight="1" s="75">
      <c r="A262" s="17" t="n"/>
      <c r="B262" s="1" t="n"/>
      <c r="C262" s="18" t="n"/>
      <c r="D262" s="18" t="n"/>
      <c r="E262" s="1" t="n"/>
      <c r="F262" s="18" t="n"/>
      <c r="G262" s="18" t="n"/>
      <c r="H262" s="18" t="n"/>
      <c r="I262" s="18" t="n"/>
      <c r="J262" s="18" t="n"/>
    </row>
    <row r="263" ht="12.3" customHeight="1" s="75">
      <c r="A263" s="17" t="n"/>
      <c r="B263" s="1" t="n"/>
      <c r="C263" s="18" t="n"/>
      <c r="D263" s="18" t="n"/>
      <c r="E263" s="1" t="n"/>
      <c r="F263" s="18" t="n"/>
      <c r="G263" s="18" t="n"/>
      <c r="H263" s="18" t="n"/>
      <c r="I263" s="18" t="n"/>
      <c r="J263" s="18" t="n"/>
    </row>
    <row r="264" ht="12.3" customHeight="1" s="75">
      <c r="A264" s="17" t="n"/>
      <c r="B264" s="1" t="n"/>
      <c r="C264" s="18" t="n"/>
      <c r="D264" s="18" t="n"/>
      <c r="E264" s="1" t="n"/>
      <c r="F264" s="18" t="n"/>
      <c r="G264" s="18" t="n"/>
      <c r="H264" s="18" t="n"/>
      <c r="I264" s="18" t="n"/>
      <c r="J264" s="18" t="n"/>
    </row>
    <row r="265" ht="12.3" customHeight="1" s="75">
      <c r="A265" s="17" t="n"/>
      <c r="B265" s="1" t="n"/>
      <c r="C265" s="18" t="n"/>
      <c r="D265" s="18" t="n"/>
      <c r="E265" s="1" t="n"/>
      <c r="F265" s="18" t="n"/>
      <c r="G265" s="18" t="n"/>
      <c r="H265" s="18" t="n"/>
      <c r="I265" s="18" t="n"/>
      <c r="J265" s="18" t="n"/>
    </row>
    <row r="266" ht="12.3" customHeight="1" s="75">
      <c r="A266" s="17" t="n"/>
      <c r="B266" s="1" t="n"/>
      <c r="C266" s="18" t="n"/>
      <c r="D266" s="18" t="n"/>
      <c r="E266" s="1" t="n"/>
      <c r="F266" s="18" t="n"/>
      <c r="G266" s="18" t="n"/>
      <c r="H266" s="18" t="n"/>
      <c r="I266" s="18" t="n"/>
      <c r="J266" s="18" t="n"/>
    </row>
    <row r="267" ht="12.3" customHeight="1" s="75">
      <c r="A267" s="17" t="n"/>
      <c r="B267" s="1" t="n"/>
      <c r="C267" s="18" t="n"/>
      <c r="D267" s="18" t="n"/>
      <c r="E267" s="1" t="n"/>
      <c r="F267" s="18" t="n"/>
      <c r="G267" s="18" t="n"/>
      <c r="H267" s="18" t="n"/>
      <c r="I267" s="18" t="n"/>
      <c r="J267" s="18" t="n"/>
    </row>
    <row r="268" ht="12.3" customHeight="1" s="75">
      <c r="A268" s="17" t="n"/>
      <c r="B268" s="1" t="n"/>
      <c r="C268" s="18" t="n"/>
      <c r="D268" s="18" t="n"/>
      <c r="E268" s="1" t="n"/>
      <c r="F268" s="18" t="n"/>
      <c r="G268" s="18" t="n"/>
      <c r="H268" s="18" t="n"/>
      <c r="I268" s="18" t="n"/>
      <c r="J268" s="18" t="n"/>
    </row>
    <row r="269" ht="12.3" customHeight="1" s="75">
      <c r="A269" s="17" t="n"/>
      <c r="B269" s="1" t="n"/>
      <c r="C269" s="18" t="n"/>
      <c r="D269" s="18" t="n"/>
      <c r="E269" s="1" t="n"/>
      <c r="F269" s="18" t="n"/>
      <c r="G269" s="18" t="n"/>
      <c r="H269" s="18" t="n"/>
      <c r="I269" s="18" t="n"/>
      <c r="J269" s="18" t="n"/>
    </row>
    <row r="270" ht="12.3" customHeight="1" s="75">
      <c r="A270" s="17" t="n"/>
      <c r="B270" s="1" t="n"/>
      <c r="C270" s="18" t="n"/>
      <c r="D270" s="18" t="n"/>
      <c r="E270" s="1" t="n"/>
      <c r="F270" s="18" t="n"/>
      <c r="G270" s="18" t="n"/>
      <c r="H270" s="18" t="n"/>
      <c r="I270" s="18" t="n"/>
      <c r="J270" s="18" t="n"/>
    </row>
    <row r="271" ht="12.3" customHeight="1" s="75">
      <c r="A271" s="17" t="n"/>
      <c r="B271" s="1" t="n"/>
      <c r="C271" s="18" t="n"/>
      <c r="D271" s="18" t="n"/>
      <c r="E271" s="1" t="n"/>
      <c r="F271" s="18" t="n"/>
      <c r="G271" s="18" t="n"/>
      <c r="H271" s="18" t="n"/>
      <c r="I271" s="18" t="n"/>
      <c r="J271" s="18" t="n"/>
    </row>
    <row r="272" ht="12.3" customHeight="1" s="75">
      <c r="A272" s="17" t="n"/>
      <c r="B272" s="1" t="n"/>
      <c r="C272" s="18" t="n"/>
      <c r="D272" s="18" t="n"/>
      <c r="E272" s="1" t="n"/>
      <c r="F272" s="18" t="n"/>
      <c r="G272" s="18" t="n"/>
      <c r="H272" s="18" t="n"/>
      <c r="I272" s="18" t="n"/>
      <c r="J272" s="18" t="n"/>
    </row>
    <row r="273" ht="12.3" customHeight="1" s="75">
      <c r="A273" s="17" t="n"/>
      <c r="B273" s="1" t="n"/>
      <c r="C273" s="18" t="n"/>
      <c r="D273" s="18" t="n"/>
      <c r="E273" s="1" t="n"/>
      <c r="F273" s="18" t="n"/>
      <c r="G273" s="18" t="n"/>
      <c r="H273" s="18" t="n"/>
      <c r="I273" s="18" t="n"/>
      <c r="J273" s="18" t="n"/>
    </row>
    <row r="274" ht="12.3" customHeight="1" s="75">
      <c r="A274" s="17" t="n"/>
      <c r="B274" s="1" t="n"/>
      <c r="C274" s="18" t="n"/>
      <c r="D274" s="18" t="n"/>
      <c r="E274" s="1" t="n"/>
      <c r="F274" s="18" t="n"/>
      <c r="G274" s="18" t="n"/>
      <c r="H274" s="18" t="n"/>
      <c r="I274" s="18" t="n"/>
      <c r="J274" s="18" t="n"/>
    </row>
    <row r="275" ht="12.3" customHeight="1" s="75">
      <c r="A275" s="17" t="n"/>
      <c r="B275" s="1" t="n"/>
      <c r="C275" s="18" t="n"/>
      <c r="D275" s="18" t="n"/>
      <c r="E275" s="1" t="n"/>
      <c r="F275" s="18" t="n"/>
      <c r="G275" s="18" t="n"/>
      <c r="H275" s="18" t="n"/>
      <c r="I275" s="18" t="n"/>
      <c r="J275" s="18" t="n"/>
    </row>
    <row r="276" ht="12.3" customHeight="1" s="75">
      <c r="A276" s="17" t="n"/>
      <c r="B276" s="1" t="n"/>
      <c r="C276" s="18" t="n"/>
      <c r="D276" s="18" t="n"/>
      <c r="E276" s="1" t="n"/>
      <c r="F276" s="18" t="n"/>
      <c r="G276" s="18" t="n"/>
      <c r="H276" s="18" t="n"/>
      <c r="I276" s="18" t="n"/>
      <c r="J276" s="18" t="n"/>
    </row>
    <row r="277" ht="12.3" customHeight="1" s="75">
      <c r="A277" s="17" t="n"/>
      <c r="B277" s="1" t="n"/>
      <c r="C277" s="18" t="n"/>
      <c r="D277" s="18" t="n"/>
      <c r="E277" s="1" t="n"/>
      <c r="F277" s="18" t="n"/>
      <c r="G277" s="18" t="n"/>
      <c r="H277" s="18" t="n"/>
      <c r="I277" s="18" t="n"/>
      <c r="J277" s="18" t="n"/>
    </row>
    <row r="278" ht="12.3" customHeight="1" s="75">
      <c r="A278" s="17" t="n"/>
      <c r="B278" s="1" t="n"/>
      <c r="C278" s="18" t="n"/>
      <c r="D278" s="18" t="n"/>
      <c r="E278" s="1" t="n"/>
      <c r="F278" s="18" t="n"/>
      <c r="G278" s="18" t="n"/>
      <c r="H278" s="18" t="n"/>
      <c r="I278" s="18" t="n"/>
      <c r="J278" s="18" t="n"/>
    </row>
    <row r="279" ht="12.3" customHeight="1" s="75">
      <c r="A279" s="17" t="n"/>
      <c r="B279" s="1" t="n"/>
      <c r="C279" s="18" t="n"/>
      <c r="D279" s="18" t="n"/>
      <c r="E279" s="1" t="n"/>
      <c r="F279" s="18" t="n"/>
      <c r="G279" s="18" t="n"/>
      <c r="H279" s="18" t="n"/>
      <c r="I279" s="18" t="n"/>
      <c r="J279" s="18" t="n"/>
    </row>
    <row r="280" ht="12.3" customHeight="1" s="75">
      <c r="A280" s="17" t="n"/>
      <c r="B280" s="1" t="n"/>
      <c r="C280" s="18" t="n"/>
      <c r="D280" s="18" t="n"/>
      <c r="E280" s="1" t="n"/>
      <c r="F280" s="18" t="n"/>
      <c r="G280" s="18" t="n"/>
      <c r="H280" s="18" t="n"/>
      <c r="I280" s="18" t="n"/>
      <c r="J280" s="18" t="n"/>
    </row>
    <row r="281" ht="12.3" customHeight="1" s="75">
      <c r="A281" s="17" t="n"/>
      <c r="B281" s="1" t="n"/>
      <c r="C281" s="18" t="n"/>
      <c r="D281" s="18" t="n"/>
      <c r="E281" s="1" t="n"/>
      <c r="F281" s="18" t="n"/>
      <c r="G281" s="18" t="n"/>
      <c r="H281" s="18" t="n"/>
      <c r="I281" s="18" t="n"/>
      <c r="J281" s="18" t="n"/>
    </row>
    <row r="282" ht="12.3" customHeight="1" s="75">
      <c r="A282" s="17" t="n"/>
      <c r="B282" s="1" t="n"/>
      <c r="C282" s="18" t="n"/>
      <c r="D282" s="18" t="n"/>
      <c r="E282" s="1" t="n"/>
      <c r="F282" s="18" t="n"/>
      <c r="G282" s="18" t="n"/>
      <c r="H282" s="18" t="n"/>
      <c r="I282" s="18" t="n"/>
      <c r="J282" s="18" t="n"/>
    </row>
    <row r="283" ht="12.3" customHeight="1" s="75">
      <c r="A283" s="17" t="n"/>
      <c r="B283" s="1" t="n"/>
      <c r="C283" s="18" t="n"/>
      <c r="D283" s="18" t="n"/>
      <c r="E283" s="1" t="n"/>
      <c r="F283" s="18" t="n"/>
      <c r="G283" s="18" t="n"/>
      <c r="H283" s="18" t="n"/>
      <c r="I283" s="18" t="n"/>
      <c r="J283" s="18" t="n"/>
    </row>
    <row r="284" ht="12.3" customHeight="1" s="75">
      <c r="A284" s="17" t="n"/>
      <c r="B284" s="1" t="n"/>
      <c r="C284" s="18" t="n"/>
      <c r="D284" s="18" t="n"/>
      <c r="E284" s="1" t="n"/>
      <c r="F284" s="18" t="n"/>
      <c r="G284" s="18" t="n"/>
      <c r="H284" s="18" t="n"/>
      <c r="I284" s="18" t="n"/>
      <c r="J284" s="18" t="n"/>
    </row>
    <row r="285" ht="12.3" customHeight="1" s="75">
      <c r="A285" s="17" t="n"/>
      <c r="B285" s="1" t="n"/>
      <c r="C285" s="18" t="n"/>
      <c r="D285" s="18" t="n"/>
      <c r="E285" s="1" t="n"/>
      <c r="F285" s="18" t="n"/>
      <c r="G285" s="18" t="n"/>
      <c r="H285" s="18" t="n"/>
      <c r="I285" s="18" t="n"/>
      <c r="J285" s="18" t="n"/>
    </row>
    <row r="286" ht="12.3" customHeight="1" s="75">
      <c r="A286" s="17" t="n"/>
      <c r="B286" s="1" t="n"/>
      <c r="C286" s="18" t="n"/>
      <c r="D286" s="18" t="n"/>
      <c r="E286" s="1" t="n"/>
      <c r="F286" s="18" t="n"/>
      <c r="G286" s="18" t="n"/>
      <c r="H286" s="18" t="n"/>
      <c r="I286" s="18" t="n"/>
      <c r="J286" s="18" t="n"/>
    </row>
    <row r="287" ht="12.3" customHeight="1" s="75">
      <c r="A287" s="17" t="n"/>
      <c r="B287" s="1" t="n"/>
      <c r="C287" s="18" t="n"/>
      <c r="D287" s="18" t="n"/>
      <c r="E287" s="1" t="n"/>
      <c r="F287" s="18" t="n"/>
      <c r="G287" s="18" t="n"/>
      <c r="H287" s="18" t="n"/>
      <c r="I287" s="18" t="n"/>
      <c r="J287" s="18" t="n"/>
    </row>
    <row r="288" ht="12.3" customHeight="1" s="75">
      <c r="A288" s="17" t="n"/>
      <c r="B288" s="1" t="n"/>
      <c r="C288" s="18" t="n"/>
      <c r="D288" s="18" t="n"/>
      <c r="E288" s="1" t="n"/>
      <c r="F288" s="18" t="n"/>
      <c r="G288" s="18" t="n"/>
      <c r="H288" s="18" t="n"/>
      <c r="I288" s="18" t="n"/>
      <c r="J288" s="18" t="n"/>
    </row>
    <row r="289" ht="12.3" customHeight="1" s="75">
      <c r="A289" s="17" t="n"/>
      <c r="B289" s="1" t="n"/>
      <c r="C289" s="18" t="n"/>
      <c r="D289" s="18" t="n"/>
      <c r="E289" s="1" t="n"/>
      <c r="F289" s="18" t="n"/>
      <c r="G289" s="18" t="n"/>
      <c r="H289" s="18" t="n"/>
      <c r="I289" s="18" t="n"/>
      <c r="J289" s="18" t="n"/>
    </row>
    <row r="290" ht="12.3" customHeight="1" s="75">
      <c r="A290" s="17" t="n"/>
      <c r="B290" s="1" t="n"/>
      <c r="C290" s="18" t="n"/>
      <c r="D290" s="18" t="n"/>
      <c r="E290" s="1" t="n"/>
      <c r="F290" s="18" t="n"/>
      <c r="G290" s="18" t="n"/>
      <c r="H290" s="18" t="n"/>
      <c r="I290" s="18" t="n"/>
      <c r="J290" s="18" t="n"/>
    </row>
    <row r="291" ht="12.3" customHeight="1" s="75">
      <c r="A291" s="17" t="n"/>
      <c r="B291" s="1" t="n"/>
      <c r="C291" s="18" t="n"/>
      <c r="D291" s="18" t="n"/>
      <c r="E291" s="1" t="n"/>
      <c r="F291" s="18" t="n"/>
      <c r="G291" s="18" t="n"/>
      <c r="H291" s="18" t="n"/>
      <c r="I291" s="18" t="n"/>
      <c r="J291" s="18" t="n"/>
    </row>
    <row r="292" ht="12.3" customHeight="1" s="75">
      <c r="A292" s="17" t="n"/>
      <c r="B292" s="1" t="n"/>
      <c r="C292" s="18" t="n"/>
      <c r="D292" s="18" t="n"/>
      <c r="E292" s="1" t="n"/>
      <c r="F292" s="18" t="n"/>
      <c r="G292" s="18" t="n"/>
      <c r="H292" s="18" t="n"/>
      <c r="I292" s="18" t="n"/>
      <c r="J292" s="18" t="n"/>
    </row>
    <row r="293" ht="12.3" customHeight="1" s="75">
      <c r="A293" s="17" t="n"/>
      <c r="B293" s="1" t="n"/>
      <c r="C293" s="18" t="n"/>
      <c r="D293" s="18" t="n"/>
      <c r="E293" s="1" t="n"/>
      <c r="F293" s="18" t="n"/>
      <c r="G293" s="18" t="n"/>
      <c r="H293" s="18" t="n"/>
      <c r="I293" s="18" t="n"/>
      <c r="J293" s="18" t="n"/>
    </row>
    <row r="294" ht="12.3" customHeight="1" s="75">
      <c r="A294" s="17" t="n"/>
      <c r="B294" s="1" t="n"/>
      <c r="C294" s="18" t="n"/>
      <c r="D294" s="18" t="n"/>
      <c r="E294" s="1" t="n"/>
      <c r="F294" s="18" t="n"/>
      <c r="G294" s="18" t="n"/>
      <c r="H294" s="18" t="n"/>
      <c r="I294" s="18" t="n"/>
      <c r="J294" s="18" t="n"/>
    </row>
    <row r="295" ht="12.3" customHeight="1" s="75">
      <c r="A295" s="17" t="n"/>
      <c r="B295" s="1" t="n"/>
      <c r="C295" s="18" t="n"/>
      <c r="D295" s="18" t="n"/>
      <c r="E295" s="1" t="n"/>
      <c r="F295" s="18" t="n"/>
      <c r="G295" s="18" t="n"/>
      <c r="H295" s="18" t="n"/>
      <c r="I295" s="18" t="n"/>
      <c r="J295" s="18" t="n"/>
    </row>
    <row r="296" ht="12.3" customHeight="1" s="75">
      <c r="A296" s="17" t="n"/>
      <c r="B296" s="1" t="n"/>
      <c r="C296" s="18" t="n"/>
      <c r="D296" s="18" t="n"/>
      <c r="E296" s="1" t="n"/>
      <c r="F296" s="18" t="n"/>
      <c r="G296" s="18" t="n"/>
      <c r="H296" s="18" t="n"/>
      <c r="I296" s="18" t="n"/>
      <c r="J296" s="18" t="n"/>
    </row>
    <row r="297" ht="12.3" customHeight="1" s="75">
      <c r="A297" s="17" t="n"/>
      <c r="B297" s="1" t="n"/>
      <c r="C297" s="18" t="n"/>
      <c r="D297" s="18" t="n"/>
      <c r="E297" s="1" t="n"/>
      <c r="F297" s="18" t="n"/>
      <c r="G297" s="18" t="n"/>
      <c r="H297" s="18" t="n"/>
      <c r="I297" s="18" t="n"/>
      <c r="J297" s="18" t="n"/>
    </row>
    <row r="298" ht="12.3" customHeight="1" s="75">
      <c r="A298" s="17" t="n"/>
      <c r="B298" s="1" t="n"/>
      <c r="C298" s="18" t="n"/>
      <c r="D298" s="18" t="n"/>
      <c r="E298" s="1" t="n"/>
      <c r="F298" s="18" t="n"/>
      <c r="G298" s="18" t="n"/>
      <c r="H298" s="18" t="n"/>
      <c r="I298" s="18" t="n"/>
      <c r="J298" s="18" t="n"/>
    </row>
    <row r="299" ht="12.3" customHeight="1" s="75">
      <c r="A299" s="17" t="n"/>
      <c r="B299" s="1" t="n"/>
      <c r="C299" s="18" t="n"/>
      <c r="D299" s="18" t="n"/>
      <c r="E299" s="1" t="n"/>
      <c r="F299" s="18" t="n"/>
      <c r="G299" s="18" t="n"/>
      <c r="H299" s="18" t="n"/>
      <c r="I299" s="18" t="n"/>
      <c r="J299" s="18" t="n"/>
    </row>
    <row r="300" ht="12.3" customHeight="1" s="75">
      <c r="A300" s="17" t="n"/>
      <c r="B300" s="1" t="n"/>
      <c r="C300" s="18" t="n"/>
      <c r="D300" s="18" t="n"/>
      <c r="E300" s="1" t="n"/>
      <c r="F300" s="18" t="n"/>
      <c r="G300" s="18" t="n"/>
      <c r="H300" s="18" t="n"/>
      <c r="I300" s="18" t="n"/>
      <c r="J300" s="18" t="n"/>
    </row>
    <row r="301" ht="12.3" customHeight="1" s="75">
      <c r="A301" s="17" t="n"/>
      <c r="B301" s="1" t="n"/>
      <c r="C301" s="18" t="n"/>
      <c r="D301" s="18" t="n"/>
      <c r="E301" s="1" t="n"/>
      <c r="F301" s="18" t="n"/>
      <c r="G301" s="18" t="n"/>
      <c r="H301" s="18" t="n"/>
      <c r="I301" s="18" t="n"/>
      <c r="J301" s="18" t="n"/>
    </row>
    <row r="302" ht="12.3" customHeight="1" s="75">
      <c r="A302" s="17" t="n"/>
      <c r="B302" s="1" t="n"/>
      <c r="C302" s="18" t="n"/>
      <c r="D302" s="18" t="n"/>
      <c r="E302" s="1" t="n"/>
      <c r="F302" s="18" t="n"/>
      <c r="G302" s="18" t="n"/>
      <c r="H302" s="18" t="n"/>
      <c r="I302" s="18" t="n"/>
      <c r="J302" s="18" t="n"/>
    </row>
    <row r="303" ht="12.3" customHeight="1" s="75">
      <c r="A303" s="17" t="n"/>
      <c r="B303" s="1" t="n"/>
      <c r="C303" s="18" t="n"/>
      <c r="D303" s="18" t="n"/>
      <c r="E303" s="1" t="n"/>
      <c r="F303" s="18" t="n"/>
      <c r="G303" s="18" t="n"/>
      <c r="H303" s="18" t="n"/>
      <c r="I303" s="18" t="n"/>
      <c r="J303" s="18" t="n"/>
    </row>
    <row r="304" ht="12.3" customHeight="1" s="75">
      <c r="A304" s="17" t="n"/>
      <c r="B304" s="1" t="n"/>
      <c r="C304" s="18" t="n"/>
      <c r="D304" s="18" t="n"/>
      <c r="E304" s="1" t="n"/>
      <c r="F304" s="18" t="n"/>
      <c r="G304" s="18" t="n"/>
      <c r="H304" s="18" t="n"/>
      <c r="I304" s="18" t="n"/>
      <c r="J304" s="18" t="n"/>
    </row>
    <row r="305" ht="12.3" customHeight="1" s="75">
      <c r="A305" s="17" t="n"/>
      <c r="B305" s="1" t="n"/>
      <c r="C305" s="18" t="n"/>
      <c r="D305" s="18" t="n"/>
      <c r="E305" s="1" t="n"/>
      <c r="F305" s="18" t="n"/>
      <c r="G305" s="18" t="n"/>
      <c r="H305" s="18" t="n"/>
      <c r="I305" s="18" t="n"/>
      <c r="J305" s="18" t="n"/>
    </row>
    <row r="306" ht="12.3" customHeight="1" s="75">
      <c r="A306" s="17" t="n"/>
      <c r="B306" s="1" t="n"/>
      <c r="C306" s="18" t="n"/>
      <c r="D306" s="18" t="n"/>
      <c r="E306" s="1" t="n"/>
      <c r="F306" s="18" t="n"/>
      <c r="G306" s="18" t="n"/>
      <c r="H306" s="18" t="n"/>
      <c r="I306" s="18" t="n"/>
      <c r="J306" s="18" t="n"/>
    </row>
    <row r="307" ht="12.3" customHeight="1" s="75">
      <c r="A307" s="17" t="n"/>
      <c r="B307" s="1" t="n"/>
      <c r="C307" s="18" t="n"/>
      <c r="D307" s="18" t="n"/>
      <c r="E307" s="1" t="n"/>
      <c r="F307" s="18" t="n"/>
      <c r="G307" s="18" t="n"/>
      <c r="H307" s="18" t="n"/>
      <c r="I307" s="18" t="n"/>
      <c r="J307" s="18" t="n"/>
    </row>
    <row r="308" ht="12.3" customHeight="1" s="75">
      <c r="A308" s="17" t="n"/>
      <c r="B308" s="1" t="n"/>
      <c r="C308" s="18" t="n"/>
      <c r="D308" s="18" t="n"/>
      <c r="E308" s="1" t="n"/>
      <c r="F308" s="18" t="n"/>
      <c r="G308" s="18" t="n"/>
      <c r="H308" s="18" t="n"/>
      <c r="I308" s="18" t="n"/>
      <c r="J308" s="18" t="n"/>
    </row>
    <row r="309" ht="12.3" customHeight="1" s="75">
      <c r="A309" s="17" t="n"/>
      <c r="B309" s="1" t="n"/>
      <c r="C309" s="18" t="n"/>
      <c r="D309" s="18" t="n"/>
      <c r="E309" s="1" t="n"/>
      <c r="F309" s="18" t="n"/>
      <c r="G309" s="18" t="n"/>
      <c r="H309" s="18" t="n"/>
      <c r="I309" s="18" t="n"/>
      <c r="J309" s="18" t="n"/>
    </row>
    <row r="310" ht="12.3" customHeight="1" s="75">
      <c r="A310" s="17" t="n"/>
      <c r="B310" s="1" t="n"/>
      <c r="C310" s="18" t="n"/>
      <c r="D310" s="18" t="n"/>
      <c r="E310" s="1" t="n"/>
      <c r="F310" s="18" t="n"/>
      <c r="G310" s="18" t="n"/>
      <c r="H310" s="18" t="n"/>
      <c r="I310" s="18" t="n"/>
      <c r="J310" s="18" t="n"/>
    </row>
    <row r="311" ht="12.3" customHeight="1" s="75">
      <c r="A311" s="17" t="n"/>
      <c r="B311" s="1" t="n"/>
      <c r="C311" s="18" t="n"/>
      <c r="D311" s="18" t="n"/>
      <c r="E311" s="1" t="n"/>
      <c r="F311" s="18" t="n"/>
      <c r="G311" s="18" t="n"/>
      <c r="H311" s="18" t="n"/>
      <c r="I311" s="18" t="n"/>
      <c r="J311" s="18" t="n"/>
    </row>
    <row r="312" ht="12.3" customHeight="1" s="75">
      <c r="A312" s="17" t="n"/>
      <c r="B312" s="1" t="n"/>
      <c r="C312" s="18" t="n"/>
      <c r="D312" s="18" t="n"/>
      <c r="E312" s="1" t="n"/>
      <c r="F312" s="18" t="n"/>
      <c r="G312" s="18" t="n"/>
      <c r="H312" s="18" t="n"/>
      <c r="I312" s="18" t="n"/>
      <c r="J312" s="18" t="n"/>
    </row>
    <row r="313" ht="12.3" customHeight="1" s="75">
      <c r="A313" s="17" t="n"/>
      <c r="B313" s="1" t="n"/>
      <c r="C313" s="18" t="n"/>
      <c r="D313" s="18" t="n"/>
      <c r="E313" s="1" t="n"/>
      <c r="F313" s="18" t="n"/>
      <c r="G313" s="18" t="n"/>
      <c r="H313" s="18" t="n"/>
      <c r="I313" s="18" t="n"/>
      <c r="J313" s="18" t="n"/>
    </row>
    <row r="314" ht="12.3" customHeight="1" s="75">
      <c r="A314" s="17" t="n"/>
      <c r="B314" s="1" t="n"/>
      <c r="C314" s="18" t="n"/>
      <c r="D314" s="18" t="n"/>
      <c r="E314" s="1" t="n"/>
      <c r="F314" s="18" t="n"/>
      <c r="G314" s="18" t="n"/>
      <c r="H314" s="18" t="n"/>
      <c r="I314" s="18" t="n"/>
      <c r="J314" s="18" t="n"/>
    </row>
    <row r="315" ht="12.3" customHeight="1" s="75">
      <c r="A315" s="17" t="n"/>
      <c r="B315" s="1" t="n"/>
      <c r="C315" s="18" t="n"/>
      <c r="D315" s="18" t="n"/>
      <c r="E315" s="1" t="n"/>
      <c r="F315" s="18" t="n"/>
      <c r="G315" s="18" t="n"/>
      <c r="H315" s="18" t="n"/>
      <c r="I315" s="18" t="n"/>
      <c r="J315" s="18" t="n"/>
    </row>
    <row r="316" ht="12.3" customHeight="1" s="75">
      <c r="A316" s="17" t="n"/>
      <c r="B316" s="1" t="n"/>
      <c r="C316" s="18" t="n"/>
      <c r="D316" s="18" t="n"/>
      <c r="E316" s="1" t="n"/>
      <c r="F316" s="18" t="n"/>
      <c r="G316" s="18" t="n"/>
      <c r="H316" s="18" t="n"/>
      <c r="I316" s="18" t="n"/>
      <c r="J316" s="18" t="n"/>
    </row>
    <row r="317" ht="12.3" customHeight="1" s="75">
      <c r="A317" s="17" t="n"/>
      <c r="B317" s="1" t="n"/>
      <c r="C317" s="18" t="n"/>
      <c r="D317" s="18" t="n"/>
      <c r="E317" s="1" t="n"/>
      <c r="F317" s="18" t="n"/>
      <c r="G317" s="18" t="n"/>
      <c r="H317" s="18" t="n"/>
      <c r="I317" s="18" t="n"/>
      <c r="J317" s="18" t="n"/>
    </row>
    <row r="318" ht="12.3" customHeight="1" s="75">
      <c r="A318" s="17" t="n"/>
      <c r="B318" s="1" t="n"/>
      <c r="C318" s="18" t="n"/>
      <c r="D318" s="18" t="n"/>
      <c r="E318" s="1" t="n"/>
      <c r="F318" s="18" t="n"/>
      <c r="G318" s="18" t="n"/>
      <c r="H318" s="18" t="n"/>
      <c r="I318" s="18" t="n"/>
      <c r="J318" s="18" t="n"/>
    </row>
    <row r="319" ht="12.3" customHeight="1" s="75">
      <c r="A319" s="17" t="n"/>
      <c r="B319" s="1" t="n"/>
      <c r="C319" s="18" t="n"/>
      <c r="D319" s="18" t="n"/>
      <c r="E319" s="1" t="n"/>
      <c r="F319" s="18" t="n"/>
      <c r="G319" s="18" t="n"/>
      <c r="H319" s="18" t="n"/>
      <c r="I319" s="18" t="n"/>
      <c r="J319" s="18" t="n"/>
    </row>
    <row r="320" ht="12.3" customHeight="1" s="75">
      <c r="A320" s="17" t="n"/>
      <c r="B320" s="1" t="n"/>
      <c r="C320" s="18" t="n"/>
      <c r="D320" s="18" t="n"/>
      <c r="E320" s="1" t="n"/>
      <c r="F320" s="18" t="n"/>
      <c r="G320" s="18" t="n"/>
      <c r="H320" s="18" t="n"/>
      <c r="I320" s="18" t="n"/>
      <c r="J320" s="18" t="n"/>
    </row>
    <row r="321" ht="12.3" customHeight="1" s="75">
      <c r="A321" s="17" t="n"/>
      <c r="B321" s="1" t="n"/>
      <c r="C321" s="18" t="n"/>
      <c r="D321" s="18" t="n"/>
      <c r="E321" s="1" t="n"/>
      <c r="F321" s="18" t="n"/>
      <c r="G321" s="18" t="n"/>
      <c r="H321" s="18" t="n"/>
      <c r="I321" s="18" t="n"/>
      <c r="J321" s="18" t="n"/>
    </row>
    <row r="322" ht="12.3" customHeight="1" s="75">
      <c r="A322" s="17" t="n"/>
      <c r="B322" s="1" t="n"/>
      <c r="C322" s="18" t="n"/>
      <c r="D322" s="18" t="n"/>
      <c r="E322" s="1" t="n"/>
      <c r="F322" s="18" t="n"/>
      <c r="G322" s="18" t="n"/>
      <c r="H322" s="18" t="n"/>
      <c r="I322" s="18" t="n"/>
      <c r="J322" s="18" t="n"/>
    </row>
    <row r="323" ht="12.3" customHeight="1" s="75">
      <c r="A323" s="17" t="n"/>
      <c r="B323" s="1" t="n"/>
      <c r="C323" s="18" t="n"/>
      <c r="D323" s="18" t="n"/>
      <c r="E323" s="1" t="n"/>
      <c r="F323" s="18" t="n"/>
      <c r="G323" s="18" t="n"/>
      <c r="H323" s="18" t="n"/>
      <c r="I323" s="18" t="n"/>
      <c r="J323" s="18" t="n"/>
    </row>
    <row r="324" ht="12.3" customHeight="1" s="75">
      <c r="A324" s="17" t="n"/>
      <c r="B324" s="1" t="n"/>
      <c r="C324" s="18" t="n"/>
      <c r="D324" s="18" t="n"/>
      <c r="E324" s="1" t="n"/>
      <c r="F324" s="18" t="n"/>
      <c r="G324" s="18" t="n"/>
      <c r="H324" s="18" t="n"/>
      <c r="I324" s="18" t="n"/>
      <c r="J324" s="18" t="n"/>
    </row>
    <row r="325" ht="12.3" customHeight="1" s="75">
      <c r="A325" s="17" t="n"/>
      <c r="B325" s="1" t="n"/>
      <c r="C325" s="18" t="n"/>
      <c r="D325" s="18" t="n"/>
      <c r="E325" s="1" t="n"/>
      <c r="F325" s="18" t="n"/>
      <c r="G325" s="18" t="n"/>
      <c r="H325" s="18" t="n"/>
      <c r="I325" s="18" t="n"/>
      <c r="J325" s="18" t="n"/>
    </row>
    <row r="326" ht="12.3" customHeight="1" s="75">
      <c r="A326" s="17" t="n"/>
      <c r="B326" s="1" t="n"/>
      <c r="C326" s="18" t="n"/>
      <c r="D326" s="18" t="n"/>
      <c r="E326" s="1" t="n"/>
      <c r="F326" s="18" t="n"/>
      <c r="G326" s="18" t="n"/>
      <c r="H326" s="18" t="n"/>
      <c r="I326" s="18" t="n"/>
      <c r="J326" s="18" t="n"/>
    </row>
    <row r="327" ht="12.3" customHeight="1" s="75">
      <c r="A327" s="17" t="n"/>
      <c r="B327" s="1" t="n"/>
      <c r="C327" s="18" t="n"/>
      <c r="D327" s="18" t="n"/>
      <c r="E327" s="1" t="n"/>
      <c r="F327" s="18" t="n"/>
      <c r="G327" s="18" t="n"/>
      <c r="H327" s="18" t="n"/>
      <c r="I327" s="18" t="n"/>
      <c r="J327" s="18" t="n"/>
    </row>
    <row r="328" ht="12.3" customHeight="1" s="75">
      <c r="A328" s="17" t="n"/>
      <c r="B328" s="1" t="n"/>
      <c r="C328" s="18" t="n"/>
      <c r="D328" s="18" t="n"/>
      <c r="E328" s="1" t="n"/>
      <c r="F328" s="18" t="n"/>
      <c r="G328" s="18" t="n"/>
      <c r="H328" s="18" t="n"/>
      <c r="I328" s="18" t="n"/>
      <c r="J328" s="18" t="n"/>
    </row>
    <row r="329" ht="12.3" customHeight="1" s="75">
      <c r="A329" s="17" t="n"/>
      <c r="B329" s="1" t="n"/>
      <c r="C329" s="18" t="n"/>
      <c r="D329" s="18" t="n"/>
      <c r="E329" s="1" t="n"/>
      <c r="F329" s="18" t="n"/>
      <c r="G329" s="18" t="n"/>
      <c r="H329" s="18" t="n"/>
      <c r="I329" s="18" t="n"/>
      <c r="J329" s="18" t="n"/>
    </row>
    <row r="330" ht="12.3" customHeight="1" s="75">
      <c r="A330" s="17" t="n"/>
      <c r="B330" s="1" t="n"/>
      <c r="C330" s="18" t="n"/>
      <c r="D330" s="18" t="n"/>
      <c r="E330" s="1" t="n"/>
      <c r="F330" s="18" t="n"/>
      <c r="G330" s="18" t="n"/>
      <c r="H330" s="18" t="n"/>
      <c r="I330" s="18" t="n"/>
      <c r="J330" s="18" t="n"/>
    </row>
    <row r="331" ht="12.3" customHeight="1" s="75">
      <c r="A331" s="17" t="n"/>
      <c r="B331" s="1" t="n"/>
      <c r="C331" s="18" t="n"/>
      <c r="D331" s="18" t="n"/>
      <c r="E331" s="1" t="n"/>
      <c r="F331" s="18" t="n"/>
      <c r="G331" s="18" t="n"/>
      <c r="H331" s="18" t="n"/>
      <c r="I331" s="18" t="n"/>
      <c r="J331" s="18" t="n"/>
    </row>
    <row r="332" ht="12.3" customHeight="1" s="75">
      <c r="A332" s="17" t="n"/>
      <c r="B332" s="1" t="n"/>
      <c r="C332" s="18" t="n"/>
      <c r="D332" s="18" t="n"/>
      <c r="E332" s="1" t="n"/>
      <c r="F332" s="18" t="n"/>
      <c r="G332" s="18" t="n"/>
      <c r="H332" s="18" t="n"/>
      <c r="I332" s="18" t="n"/>
      <c r="J332" s="18" t="n"/>
    </row>
    <row r="333" ht="12.3" customHeight="1" s="75">
      <c r="A333" s="17" t="n"/>
      <c r="B333" s="1" t="n"/>
      <c r="C333" s="18" t="n"/>
      <c r="D333" s="18" t="n"/>
      <c r="E333" s="1" t="n"/>
      <c r="F333" s="18" t="n"/>
      <c r="G333" s="18" t="n"/>
      <c r="H333" s="18" t="n"/>
      <c r="I333" s="18" t="n"/>
      <c r="J333" s="18" t="n"/>
    </row>
    <row r="334" ht="12.3" customHeight="1" s="75">
      <c r="A334" s="17" t="n"/>
      <c r="B334" s="1" t="n"/>
      <c r="C334" s="18" t="n"/>
      <c r="D334" s="18" t="n"/>
      <c r="E334" s="1" t="n"/>
      <c r="F334" s="18" t="n"/>
      <c r="G334" s="18" t="n"/>
      <c r="H334" s="18" t="n"/>
      <c r="I334" s="18" t="n"/>
      <c r="J334" s="18" t="n"/>
    </row>
    <row r="335" ht="12.3" customHeight="1" s="75">
      <c r="A335" s="17" t="n"/>
      <c r="B335" s="1" t="n"/>
      <c r="C335" s="18" t="n"/>
      <c r="D335" s="18" t="n"/>
      <c r="E335" s="1" t="n"/>
      <c r="F335" s="18" t="n"/>
      <c r="G335" s="18" t="n"/>
      <c r="H335" s="18" t="n"/>
      <c r="I335" s="18" t="n"/>
      <c r="J335" s="18" t="n"/>
    </row>
    <row r="336" ht="12.3" customHeight="1" s="75">
      <c r="A336" s="17" t="n"/>
      <c r="B336" s="1" t="n"/>
      <c r="C336" s="18" t="n"/>
      <c r="D336" s="18" t="n"/>
      <c r="E336" s="1" t="n"/>
      <c r="F336" s="18" t="n"/>
      <c r="G336" s="18" t="n"/>
      <c r="H336" s="18" t="n"/>
      <c r="I336" s="18" t="n"/>
      <c r="J336" s="18" t="n"/>
    </row>
    <row r="337" ht="12.3" customHeight="1" s="75">
      <c r="A337" s="17" t="n"/>
      <c r="B337" s="1" t="n"/>
      <c r="C337" s="18" t="n"/>
      <c r="D337" s="18" t="n"/>
      <c r="E337" s="1" t="n"/>
      <c r="F337" s="18" t="n"/>
      <c r="G337" s="18" t="n"/>
      <c r="H337" s="18" t="n"/>
      <c r="I337" s="18" t="n"/>
      <c r="J337" s="18" t="n"/>
    </row>
    <row r="338" ht="12.3" customHeight="1" s="75">
      <c r="A338" s="17" t="n"/>
      <c r="B338" s="1" t="n"/>
      <c r="C338" s="18" t="n"/>
      <c r="D338" s="18" t="n"/>
      <c r="E338" s="1" t="n"/>
      <c r="F338" s="18" t="n"/>
      <c r="G338" s="18" t="n"/>
      <c r="H338" s="18" t="n"/>
      <c r="I338" s="18" t="n"/>
      <c r="J338" s="18" t="n"/>
    </row>
    <row r="339" ht="12.3" customHeight="1" s="75">
      <c r="A339" s="17" t="n"/>
      <c r="B339" s="1" t="n"/>
      <c r="C339" s="18" t="n"/>
      <c r="D339" s="18" t="n"/>
      <c r="E339" s="1" t="n"/>
      <c r="F339" s="18" t="n"/>
      <c r="G339" s="18" t="n"/>
      <c r="H339" s="18" t="n"/>
      <c r="I339" s="18" t="n"/>
      <c r="J339" s="18" t="n"/>
    </row>
    <row r="340" ht="12.3" customHeight="1" s="75">
      <c r="A340" s="17" t="n"/>
      <c r="B340" s="1" t="n"/>
      <c r="C340" s="18" t="n"/>
      <c r="D340" s="18" t="n"/>
      <c r="E340" s="1" t="n"/>
      <c r="F340" s="18" t="n"/>
      <c r="G340" s="18" t="n"/>
      <c r="H340" s="18" t="n"/>
      <c r="I340" s="18" t="n"/>
      <c r="J340" s="18" t="n"/>
    </row>
    <row r="341" ht="12.3" customHeight="1" s="75">
      <c r="A341" s="17" t="n"/>
      <c r="B341" s="1" t="n"/>
      <c r="C341" s="18" t="n"/>
      <c r="D341" s="18" t="n"/>
      <c r="E341" s="1" t="n"/>
      <c r="F341" s="18" t="n"/>
      <c r="G341" s="18" t="n"/>
      <c r="H341" s="18" t="n"/>
      <c r="I341" s="18" t="n"/>
      <c r="J341" s="18" t="n"/>
    </row>
    <row r="342" ht="12.3" customHeight="1" s="75">
      <c r="A342" s="17" t="n"/>
      <c r="B342" s="1" t="n"/>
      <c r="C342" s="18" t="n"/>
      <c r="D342" s="18" t="n"/>
      <c r="E342" s="1" t="n"/>
      <c r="F342" s="18" t="n"/>
      <c r="G342" s="18" t="n"/>
      <c r="H342" s="18" t="n"/>
      <c r="I342" s="18" t="n"/>
      <c r="J342" s="18" t="n"/>
    </row>
    <row r="343" ht="12.3" customHeight="1" s="75">
      <c r="A343" s="17" t="n"/>
      <c r="B343" s="1" t="n"/>
      <c r="C343" s="18" t="n"/>
      <c r="D343" s="18" t="n"/>
      <c r="E343" s="1" t="n"/>
      <c r="F343" s="18" t="n"/>
      <c r="G343" s="18" t="n"/>
      <c r="H343" s="18" t="n"/>
      <c r="I343" s="18" t="n"/>
      <c r="J343" s="18" t="n"/>
    </row>
    <row r="344" ht="12.3" customHeight="1" s="75">
      <c r="A344" s="17" t="n"/>
      <c r="B344" s="1" t="n"/>
      <c r="C344" s="18" t="n"/>
      <c r="D344" s="18" t="n"/>
      <c r="E344" s="1" t="n"/>
      <c r="F344" s="18" t="n"/>
      <c r="G344" s="18" t="n"/>
      <c r="H344" s="18" t="n"/>
      <c r="I344" s="18" t="n"/>
      <c r="J344" s="18" t="n"/>
    </row>
    <row r="345" ht="12.3" customHeight="1" s="75">
      <c r="A345" s="17" t="n"/>
      <c r="B345" s="1" t="n"/>
      <c r="C345" s="18" t="n"/>
      <c r="D345" s="18" t="n"/>
      <c r="E345" s="1" t="n"/>
      <c r="F345" s="18" t="n"/>
      <c r="G345" s="18" t="n"/>
      <c r="H345" s="18" t="n"/>
      <c r="I345" s="18" t="n"/>
      <c r="J345" s="18" t="n"/>
    </row>
    <row r="346" ht="12.3" customHeight="1" s="75">
      <c r="A346" s="17" t="n"/>
      <c r="B346" s="1" t="n"/>
      <c r="C346" s="18" t="n"/>
      <c r="D346" s="18" t="n"/>
      <c r="E346" s="1" t="n"/>
      <c r="F346" s="18" t="n"/>
      <c r="G346" s="18" t="n"/>
      <c r="H346" s="18" t="n"/>
      <c r="I346" s="18" t="n"/>
      <c r="J346" s="18" t="n"/>
    </row>
    <row r="347" ht="12.3" customHeight="1" s="75">
      <c r="A347" s="17" t="n"/>
      <c r="B347" s="1" t="n"/>
      <c r="C347" s="18" t="n"/>
      <c r="D347" s="18" t="n"/>
      <c r="E347" s="1" t="n"/>
      <c r="F347" s="18" t="n"/>
      <c r="G347" s="18" t="n"/>
      <c r="H347" s="18" t="n"/>
      <c r="I347" s="18" t="n"/>
      <c r="J347" s="18" t="n"/>
    </row>
    <row r="348" ht="12.3" customHeight="1" s="75">
      <c r="A348" s="17" t="n"/>
      <c r="B348" s="1" t="n"/>
      <c r="C348" s="18" t="n"/>
      <c r="D348" s="18" t="n"/>
      <c r="E348" s="1" t="n"/>
      <c r="F348" s="18" t="n"/>
      <c r="G348" s="18" t="n"/>
      <c r="H348" s="18" t="n"/>
      <c r="I348" s="18" t="n"/>
      <c r="J348" s="18" t="n"/>
    </row>
    <row r="349" ht="12.3" customHeight="1" s="75">
      <c r="A349" s="17" t="n"/>
      <c r="B349" s="1" t="n"/>
      <c r="C349" s="18" t="n"/>
      <c r="D349" s="18" t="n"/>
      <c r="E349" s="1" t="n"/>
      <c r="F349" s="18" t="n"/>
      <c r="G349" s="18" t="n"/>
      <c r="H349" s="18" t="n"/>
      <c r="I349" s="18" t="n"/>
      <c r="J349" s="18" t="n"/>
    </row>
    <row r="350" ht="12.3" customHeight="1" s="75">
      <c r="A350" s="17" t="n"/>
      <c r="B350" s="1" t="n"/>
      <c r="C350" s="18" t="n"/>
      <c r="D350" s="18" t="n"/>
      <c r="E350" s="1" t="n"/>
      <c r="F350" s="18" t="n"/>
      <c r="G350" s="18" t="n"/>
      <c r="H350" s="18" t="n"/>
      <c r="I350" s="18" t="n"/>
      <c r="J350" s="18" t="n"/>
    </row>
    <row r="351" ht="12.3" customHeight="1" s="75">
      <c r="A351" s="17" t="n"/>
      <c r="B351" s="1" t="n"/>
      <c r="C351" s="18" t="n"/>
      <c r="D351" s="18" t="n"/>
      <c r="E351" s="1" t="n"/>
      <c r="F351" s="18" t="n"/>
      <c r="G351" s="18" t="n"/>
      <c r="H351" s="18" t="n"/>
      <c r="I351" s="18" t="n"/>
      <c r="J351" s="18" t="n"/>
    </row>
    <row r="352" ht="12.3" customHeight="1" s="75">
      <c r="A352" s="17" t="n"/>
      <c r="B352" s="1" t="n"/>
      <c r="C352" s="18" t="n"/>
      <c r="D352" s="18" t="n"/>
      <c r="E352" s="1" t="n"/>
      <c r="F352" s="18" t="n"/>
      <c r="G352" s="18" t="n"/>
      <c r="H352" s="18" t="n"/>
      <c r="I352" s="18" t="n"/>
      <c r="J352" s="18" t="n"/>
    </row>
    <row r="353" ht="12.3" customHeight="1" s="75">
      <c r="A353" s="17" t="n"/>
      <c r="B353" s="1" t="n"/>
      <c r="C353" s="18" t="n"/>
      <c r="D353" s="18" t="n"/>
      <c r="E353" s="1" t="n"/>
      <c r="F353" s="18" t="n"/>
      <c r="G353" s="18" t="n"/>
      <c r="H353" s="18" t="n"/>
      <c r="I353" s="18" t="n"/>
      <c r="J353" s="18" t="n"/>
    </row>
    <row r="354" ht="12.3" customHeight="1" s="75">
      <c r="A354" s="17" t="n"/>
      <c r="B354" s="1" t="n"/>
      <c r="C354" s="18" t="n"/>
      <c r="D354" s="18" t="n"/>
      <c r="E354" s="1" t="n"/>
      <c r="F354" s="18" t="n"/>
      <c r="G354" s="18" t="n"/>
      <c r="H354" s="18" t="n"/>
      <c r="I354" s="18" t="n"/>
      <c r="J354" s="18" t="n"/>
    </row>
    <row r="355" ht="12.3" customHeight="1" s="75">
      <c r="A355" s="17" t="n"/>
      <c r="B355" s="1" t="n"/>
      <c r="C355" s="18" t="n"/>
      <c r="D355" s="18" t="n"/>
      <c r="E355" s="1" t="n"/>
      <c r="F355" s="18" t="n"/>
      <c r="G355" s="18" t="n"/>
      <c r="H355" s="18" t="n"/>
      <c r="I355" s="18" t="n"/>
      <c r="J355" s="18" t="n"/>
    </row>
    <row r="356" ht="12.3" customHeight="1" s="75">
      <c r="A356" s="17" t="n"/>
      <c r="B356" s="1" t="n"/>
      <c r="C356" s="18" t="n"/>
      <c r="D356" s="18" t="n"/>
      <c r="E356" s="1" t="n"/>
      <c r="F356" s="18" t="n"/>
      <c r="G356" s="18" t="n"/>
      <c r="H356" s="18" t="n"/>
      <c r="I356" s="18" t="n"/>
      <c r="J356" s="18" t="n"/>
    </row>
    <row r="357" ht="12.3" customHeight="1" s="75">
      <c r="A357" s="17" t="n"/>
      <c r="B357" s="1" t="n"/>
      <c r="C357" s="18" t="n"/>
      <c r="D357" s="18" t="n"/>
      <c r="E357" s="1" t="n"/>
      <c r="F357" s="18" t="n"/>
      <c r="G357" s="18" t="n"/>
      <c r="H357" s="18" t="n"/>
      <c r="I357" s="18" t="n"/>
      <c r="J357" s="18" t="n"/>
    </row>
    <row r="358" ht="12.3" customHeight="1" s="75">
      <c r="A358" s="17" t="n"/>
      <c r="B358" s="1" t="n"/>
      <c r="C358" s="18" t="n"/>
      <c r="D358" s="18" t="n"/>
      <c r="E358" s="1" t="n"/>
      <c r="F358" s="18" t="n"/>
      <c r="G358" s="18" t="n"/>
      <c r="H358" s="18" t="n"/>
      <c r="I358" s="18" t="n"/>
      <c r="J358" s="18" t="n"/>
    </row>
    <row r="359" ht="12.3" customHeight="1" s="75">
      <c r="A359" s="17" t="n"/>
      <c r="B359" s="1" t="n"/>
      <c r="C359" s="18" t="n"/>
      <c r="D359" s="18" t="n"/>
      <c r="E359" s="1" t="n"/>
      <c r="F359" s="18" t="n"/>
      <c r="G359" s="18" t="n"/>
      <c r="H359" s="18" t="n"/>
      <c r="I359" s="18" t="n"/>
      <c r="J359" s="18" t="n"/>
    </row>
    <row r="360" ht="12.3" customHeight="1" s="75">
      <c r="A360" s="17" t="n"/>
      <c r="B360" s="1" t="n"/>
      <c r="C360" s="18" t="n"/>
      <c r="D360" s="18" t="n"/>
      <c r="E360" s="1" t="n"/>
      <c r="F360" s="18" t="n"/>
      <c r="G360" s="18" t="n"/>
      <c r="H360" s="18" t="n"/>
      <c r="I360" s="18" t="n"/>
      <c r="J360" s="18" t="n"/>
    </row>
    <row r="361" ht="12.3" customHeight="1" s="75">
      <c r="A361" s="17" t="n"/>
      <c r="B361" s="1" t="n"/>
      <c r="C361" s="18" t="n"/>
      <c r="D361" s="18" t="n"/>
      <c r="E361" s="1" t="n"/>
      <c r="F361" s="18" t="n"/>
      <c r="G361" s="18" t="n"/>
      <c r="H361" s="18" t="n"/>
      <c r="I361" s="18" t="n"/>
      <c r="J361" s="18" t="n"/>
    </row>
    <row r="362" ht="12.3" customHeight="1" s="75">
      <c r="A362" s="17" t="n"/>
      <c r="B362" s="1" t="n"/>
      <c r="C362" s="18" t="n"/>
      <c r="D362" s="18" t="n"/>
      <c r="E362" s="1" t="n"/>
      <c r="F362" s="18" t="n"/>
      <c r="G362" s="18" t="n"/>
      <c r="H362" s="18" t="n"/>
      <c r="I362" s="18" t="n"/>
      <c r="J362" s="18" t="n"/>
    </row>
    <row r="363" ht="12.3" customHeight="1" s="75">
      <c r="A363" s="17" t="n"/>
      <c r="B363" s="1" t="n"/>
      <c r="C363" s="18" t="n"/>
      <c r="D363" s="18" t="n"/>
      <c r="E363" s="1" t="n"/>
      <c r="F363" s="18" t="n"/>
      <c r="G363" s="18" t="n"/>
      <c r="H363" s="18" t="n"/>
      <c r="I363" s="18" t="n"/>
      <c r="J363" s="18" t="n"/>
    </row>
    <row r="364" ht="12.3" customHeight="1" s="75">
      <c r="A364" s="17" t="n"/>
      <c r="B364" s="1" t="n"/>
      <c r="C364" s="18" t="n"/>
      <c r="D364" s="18" t="n"/>
      <c r="E364" s="1" t="n"/>
      <c r="F364" s="18" t="n"/>
      <c r="G364" s="18" t="n"/>
      <c r="H364" s="18" t="n"/>
      <c r="I364" s="18" t="n"/>
      <c r="J364" s="18" t="n"/>
    </row>
    <row r="365" ht="12.3" customHeight="1" s="75">
      <c r="A365" s="17" t="n"/>
      <c r="B365" s="1" t="n"/>
      <c r="C365" s="18" t="n"/>
      <c r="D365" s="18" t="n"/>
      <c r="E365" s="1" t="n"/>
      <c r="F365" s="18" t="n"/>
      <c r="G365" s="18" t="n"/>
      <c r="H365" s="18" t="n"/>
      <c r="I365" s="18" t="n"/>
      <c r="J365" s="18" t="n"/>
    </row>
    <row r="366" ht="12.3" customHeight="1" s="75">
      <c r="A366" s="17" t="n"/>
      <c r="B366" s="1" t="n"/>
      <c r="C366" s="18" t="n"/>
      <c r="D366" s="18" t="n"/>
      <c r="E366" s="1" t="n"/>
      <c r="F366" s="18" t="n"/>
      <c r="G366" s="18" t="n"/>
      <c r="H366" s="18" t="n"/>
      <c r="I366" s="18" t="n"/>
      <c r="J366" s="18" t="n"/>
    </row>
    <row r="367" ht="12.3" customHeight="1" s="75">
      <c r="A367" s="17" t="n"/>
      <c r="B367" s="1" t="n"/>
      <c r="C367" s="18" t="n"/>
      <c r="D367" s="18" t="n"/>
      <c r="E367" s="1" t="n"/>
      <c r="F367" s="18" t="n"/>
      <c r="G367" s="18" t="n"/>
      <c r="H367" s="18" t="n"/>
      <c r="I367" s="18" t="n"/>
      <c r="J367" s="18" t="n"/>
    </row>
    <row r="368" ht="12.3" customHeight="1" s="75">
      <c r="A368" s="17" t="n"/>
      <c r="B368" s="1" t="n"/>
      <c r="C368" s="18" t="n"/>
      <c r="D368" s="18" t="n"/>
      <c r="E368" s="1" t="n"/>
      <c r="F368" s="18" t="n"/>
      <c r="G368" s="18" t="n"/>
      <c r="H368" s="18" t="n"/>
      <c r="I368" s="18" t="n"/>
      <c r="J368" s="18" t="n"/>
    </row>
    <row r="369" ht="12.3" customHeight="1" s="75">
      <c r="A369" s="17" t="n"/>
      <c r="B369" s="1" t="n"/>
      <c r="C369" s="18" t="n"/>
      <c r="D369" s="18" t="n"/>
      <c r="E369" s="1" t="n"/>
      <c r="F369" s="18" t="n"/>
      <c r="G369" s="18" t="n"/>
      <c r="H369" s="18" t="n"/>
      <c r="I369" s="18" t="n"/>
      <c r="J369" s="18" t="n"/>
    </row>
    <row r="370" ht="12.3" customHeight="1" s="75">
      <c r="A370" s="17" t="n"/>
      <c r="B370" s="1" t="n"/>
      <c r="C370" s="18" t="n"/>
      <c r="D370" s="18" t="n"/>
      <c r="E370" s="1" t="n"/>
      <c r="F370" s="18" t="n"/>
      <c r="G370" s="18" t="n"/>
      <c r="H370" s="18" t="n"/>
      <c r="I370" s="18" t="n"/>
      <c r="J370" s="18" t="n"/>
    </row>
    <row r="371" ht="12.3" customHeight="1" s="75">
      <c r="A371" s="17" t="n"/>
      <c r="B371" s="1" t="n"/>
      <c r="C371" s="18" t="n"/>
      <c r="D371" s="18" t="n"/>
      <c r="E371" s="1" t="n"/>
      <c r="F371" s="18" t="n"/>
      <c r="G371" s="18" t="n"/>
      <c r="H371" s="18" t="n"/>
      <c r="I371" s="18" t="n"/>
      <c r="J371" s="18" t="n"/>
    </row>
    <row r="372" ht="12.3" customHeight="1" s="75">
      <c r="A372" s="17" t="n"/>
      <c r="B372" s="1" t="n"/>
      <c r="C372" s="18" t="n"/>
      <c r="D372" s="18" t="n"/>
      <c r="E372" s="1" t="n"/>
      <c r="F372" s="18" t="n"/>
      <c r="G372" s="18" t="n"/>
      <c r="H372" s="18" t="n"/>
      <c r="I372" s="18" t="n"/>
      <c r="J372" s="18" t="n"/>
    </row>
    <row r="373" ht="12.3" customHeight="1" s="75">
      <c r="A373" s="17" t="n"/>
      <c r="B373" s="1" t="n"/>
      <c r="C373" s="18" t="n"/>
      <c r="D373" s="18" t="n"/>
      <c r="E373" s="1" t="n"/>
      <c r="F373" s="18" t="n"/>
      <c r="G373" s="18" t="n"/>
      <c r="H373" s="18" t="n"/>
      <c r="I373" s="18" t="n"/>
      <c r="J373" s="18" t="n"/>
    </row>
    <row r="374" ht="12.3" customHeight="1" s="75">
      <c r="A374" s="17" t="n"/>
      <c r="B374" s="1" t="n"/>
      <c r="C374" s="18" t="n"/>
      <c r="D374" s="18" t="n"/>
      <c r="E374" s="1" t="n"/>
      <c r="F374" s="18" t="n"/>
      <c r="G374" s="18" t="n"/>
      <c r="H374" s="18" t="n"/>
      <c r="I374" s="18" t="n"/>
      <c r="J374" s="18" t="n"/>
    </row>
    <row r="375" ht="12.3" customHeight="1" s="75">
      <c r="A375" s="17" t="n"/>
      <c r="B375" s="1" t="n"/>
      <c r="C375" s="18" t="n"/>
      <c r="D375" s="18" t="n"/>
      <c r="E375" s="1" t="n"/>
      <c r="F375" s="18" t="n"/>
      <c r="G375" s="18" t="n"/>
      <c r="H375" s="18" t="n"/>
      <c r="I375" s="18" t="n"/>
      <c r="J375" s="18" t="n"/>
    </row>
    <row r="376" ht="12.3" customHeight="1" s="75">
      <c r="A376" s="17" t="n"/>
      <c r="B376" s="1" t="n"/>
      <c r="C376" s="18" t="n"/>
      <c r="D376" s="18" t="n"/>
      <c r="E376" s="1" t="n"/>
      <c r="F376" s="18" t="n"/>
      <c r="G376" s="18" t="n"/>
      <c r="H376" s="18" t="n"/>
      <c r="I376" s="18" t="n"/>
      <c r="J376" s="18" t="n"/>
    </row>
    <row r="377" ht="12.3" customHeight="1" s="75">
      <c r="A377" s="17" t="n"/>
      <c r="B377" s="1" t="n"/>
      <c r="C377" s="18" t="n"/>
      <c r="D377" s="18" t="n"/>
      <c r="E377" s="1" t="n"/>
      <c r="F377" s="18" t="n"/>
      <c r="G377" s="18" t="n"/>
      <c r="H377" s="18" t="n"/>
      <c r="I377" s="18" t="n"/>
      <c r="J377" s="18" t="n"/>
    </row>
    <row r="378" ht="12.3" customHeight="1" s="75">
      <c r="A378" s="17" t="n"/>
      <c r="B378" s="1" t="n"/>
      <c r="C378" s="18" t="n"/>
      <c r="D378" s="18" t="n"/>
      <c r="E378" s="1" t="n"/>
      <c r="F378" s="18" t="n"/>
      <c r="G378" s="18" t="n"/>
      <c r="H378" s="18" t="n"/>
      <c r="I378" s="18" t="n"/>
      <c r="J378" s="18" t="n"/>
    </row>
    <row r="379" ht="12.3" customHeight="1" s="75">
      <c r="A379" s="17" t="n"/>
      <c r="B379" s="1" t="n"/>
      <c r="C379" s="18" t="n"/>
      <c r="D379" s="18" t="n"/>
      <c r="E379" s="1" t="n"/>
      <c r="F379" s="18" t="n"/>
      <c r="G379" s="18" t="n"/>
      <c r="H379" s="18" t="n"/>
      <c r="I379" s="18" t="n"/>
      <c r="J379" s="18" t="n"/>
    </row>
    <row r="380" ht="12.3" customHeight="1" s="75">
      <c r="A380" s="17" t="n"/>
      <c r="B380" s="1" t="n"/>
      <c r="C380" s="18" t="n"/>
      <c r="D380" s="18" t="n"/>
      <c r="E380" s="1" t="n"/>
      <c r="F380" s="18" t="n"/>
      <c r="G380" s="18" t="n"/>
      <c r="H380" s="18" t="n"/>
      <c r="I380" s="18" t="n"/>
      <c r="J380" s="18" t="n"/>
    </row>
    <row r="381" ht="12.3" customHeight="1" s="75">
      <c r="A381" s="17" t="n"/>
      <c r="B381" s="1" t="n"/>
      <c r="C381" s="18" t="n"/>
      <c r="D381" s="18" t="n"/>
      <c r="E381" s="1" t="n"/>
      <c r="F381" s="18" t="n"/>
      <c r="G381" s="18" t="n"/>
      <c r="H381" s="18" t="n"/>
      <c r="I381" s="18" t="n"/>
      <c r="J381" s="18" t="n"/>
    </row>
    <row r="382" ht="12.3" customHeight="1" s="75">
      <c r="A382" s="17" t="n"/>
      <c r="B382" s="1" t="n"/>
      <c r="C382" s="18" t="n"/>
      <c r="D382" s="18" t="n"/>
      <c r="E382" s="1" t="n"/>
      <c r="F382" s="18" t="n"/>
      <c r="G382" s="18" t="n"/>
      <c r="H382" s="18" t="n"/>
      <c r="I382" s="18" t="n"/>
      <c r="J382" s="18" t="n"/>
    </row>
    <row r="383" ht="12.3" customHeight="1" s="75">
      <c r="A383" s="17" t="n"/>
      <c r="B383" s="1" t="n"/>
      <c r="C383" s="18" t="n"/>
      <c r="D383" s="18" t="n"/>
      <c r="E383" s="1" t="n"/>
      <c r="F383" s="18" t="n"/>
      <c r="G383" s="18" t="n"/>
      <c r="H383" s="18" t="n"/>
      <c r="I383" s="18" t="n"/>
      <c r="J383" s="18" t="n"/>
    </row>
    <row r="384" ht="12.3" customHeight="1" s="75">
      <c r="A384" s="17" t="n"/>
      <c r="B384" s="1" t="n"/>
      <c r="C384" s="18" t="n"/>
      <c r="D384" s="18" t="n"/>
      <c r="E384" s="1" t="n"/>
      <c r="F384" s="18" t="n"/>
      <c r="G384" s="18" t="n"/>
      <c r="H384" s="18" t="n"/>
      <c r="I384" s="18" t="n"/>
      <c r="J384" s="18" t="n"/>
    </row>
    <row r="385" ht="12.3" customHeight="1" s="75">
      <c r="A385" s="17" t="n"/>
      <c r="B385" s="1" t="n"/>
      <c r="C385" s="18" t="n"/>
      <c r="D385" s="18" t="n"/>
      <c r="E385" s="1" t="n"/>
      <c r="F385" s="18" t="n"/>
      <c r="G385" s="18" t="n"/>
      <c r="H385" s="18" t="n"/>
      <c r="I385" s="18" t="n"/>
      <c r="J385" s="18" t="n"/>
    </row>
    <row r="386" ht="12.3" customHeight="1" s="75">
      <c r="A386" s="17" t="n"/>
      <c r="B386" s="1" t="n"/>
      <c r="C386" s="18" t="n"/>
      <c r="D386" s="18" t="n"/>
      <c r="E386" s="1" t="n"/>
      <c r="F386" s="18" t="n"/>
      <c r="G386" s="18" t="n"/>
      <c r="H386" s="18" t="n"/>
      <c r="I386" s="18" t="n"/>
      <c r="J386" s="18" t="n"/>
    </row>
    <row r="387" ht="12.3" customHeight="1" s="75">
      <c r="A387" s="17" t="n"/>
      <c r="B387" s="1" t="n"/>
      <c r="C387" s="18" t="n"/>
      <c r="D387" s="18" t="n"/>
      <c r="E387" s="1" t="n"/>
      <c r="F387" s="18" t="n"/>
      <c r="G387" s="18" t="n"/>
      <c r="H387" s="18" t="n"/>
      <c r="I387" s="18" t="n"/>
      <c r="J387" s="18" t="n"/>
    </row>
    <row r="388" ht="12.3" customHeight="1" s="75">
      <c r="A388" s="17" t="n"/>
      <c r="B388" s="1" t="n"/>
      <c r="C388" s="18" t="n"/>
      <c r="D388" s="18" t="n"/>
      <c r="E388" s="1" t="n"/>
      <c r="F388" s="18" t="n"/>
      <c r="G388" s="18" t="n"/>
      <c r="H388" s="18" t="n"/>
      <c r="I388" s="18" t="n"/>
      <c r="J388" s="18" t="n"/>
    </row>
    <row r="389" ht="12.3" customHeight="1" s="75">
      <c r="A389" s="17" t="n"/>
      <c r="B389" s="1" t="n"/>
      <c r="C389" s="18" t="n"/>
      <c r="D389" s="18" t="n"/>
      <c r="E389" s="1" t="n"/>
      <c r="F389" s="18" t="n"/>
      <c r="G389" s="18" t="n"/>
      <c r="H389" s="18" t="n"/>
      <c r="I389" s="18" t="n"/>
      <c r="J389" s="18" t="n"/>
    </row>
    <row r="390" ht="12.3" customHeight="1" s="75">
      <c r="A390" s="17" t="n"/>
      <c r="B390" s="1" t="n"/>
      <c r="C390" s="18" t="n"/>
      <c r="D390" s="18" t="n"/>
      <c r="E390" s="1" t="n"/>
      <c r="F390" s="18" t="n"/>
      <c r="G390" s="18" t="n"/>
      <c r="H390" s="18" t="n"/>
      <c r="I390" s="18" t="n"/>
      <c r="J390" s="18" t="n"/>
    </row>
    <row r="391" ht="12.3" customHeight="1" s="75">
      <c r="A391" s="17" t="n"/>
      <c r="B391" s="1" t="n"/>
      <c r="C391" s="18" t="n"/>
      <c r="D391" s="18" t="n"/>
      <c r="E391" s="1" t="n"/>
      <c r="F391" s="18" t="n"/>
      <c r="G391" s="18" t="n"/>
      <c r="H391" s="18" t="n"/>
      <c r="I391" s="18" t="n"/>
      <c r="J391" s="18" t="n"/>
    </row>
    <row r="392" ht="12.3" customHeight="1" s="75">
      <c r="A392" s="17" t="n"/>
      <c r="B392" s="1" t="n"/>
      <c r="C392" s="18" t="n"/>
      <c r="D392" s="18" t="n"/>
      <c r="E392" s="1" t="n"/>
      <c r="F392" s="18" t="n"/>
      <c r="G392" s="18" t="n"/>
      <c r="H392" s="18" t="n"/>
      <c r="I392" s="18" t="n"/>
      <c r="J392" s="18" t="n"/>
    </row>
    <row r="393" ht="12.3" customHeight="1" s="75">
      <c r="A393" s="17" t="n"/>
      <c r="B393" s="1" t="n"/>
      <c r="C393" s="18" t="n"/>
      <c r="D393" s="18" t="n"/>
      <c r="E393" s="1" t="n"/>
      <c r="F393" s="18" t="n"/>
      <c r="G393" s="18" t="n"/>
      <c r="H393" s="18" t="n"/>
      <c r="I393" s="18" t="n"/>
      <c r="J393" s="18" t="n"/>
    </row>
    <row r="394" ht="12.3" customHeight="1" s="75">
      <c r="A394" s="17" t="n"/>
      <c r="B394" s="1" t="n"/>
      <c r="C394" s="18" t="n"/>
      <c r="D394" s="18" t="n"/>
      <c r="E394" s="1" t="n"/>
      <c r="F394" s="18" t="n"/>
      <c r="G394" s="18" t="n"/>
      <c r="H394" s="18" t="n"/>
      <c r="I394" s="18" t="n"/>
      <c r="J394" s="18" t="n"/>
    </row>
    <row r="395" ht="12.3" customHeight="1" s="75">
      <c r="A395" s="17" t="n"/>
      <c r="B395" s="1" t="n"/>
      <c r="C395" s="18" t="n"/>
      <c r="D395" s="18" t="n"/>
      <c r="E395" s="1" t="n"/>
      <c r="F395" s="18" t="n"/>
      <c r="G395" s="18" t="n"/>
      <c r="H395" s="18" t="n"/>
      <c r="I395" s="18" t="n"/>
      <c r="J395" s="18" t="n"/>
    </row>
    <row r="396" ht="12.3" customHeight="1" s="75">
      <c r="A396" s="17" t="n"/>
      <c r="B396" s="1" t="n"/>
      <c r="C396" s="18" t="n"/>
      <c r="D396" s="18" t="n"/>
      <c r="E396" s="1" t="n"/>
      <c r="F396" s="18" t="n"/>
      <c r="G396" s="18" t="n"/>
      <c r="H396" s="18" t="n"/>
      <c r="I396" s="18" t="n"/>
      <c r="J396" s="18" t="n"/>
    </row>
    <row r="397" ht="12.3" customHeight="1" s="75">
      <c r="A397" s="17" t="n"/>
      <c r="B397" s="1" t="n"/>
      <c r="C397" s="18" t="n"/>
      <c r="D397" s="18" t="n"/>
      <c r="E397" s="1" t="n"/>
      <c r="F397" s="18" t="n"/>
      <c r="G397" s="18" t="n"/>
      <c r="H397" s="18" t="n"/>
      <c r="I397" s="18" t="n"/>
      <c r="J397" s="18" t="n"/>
    </row>
    <row r="398" ht="12.3" customHeight="1" s="75">
      <c r="A398" s="17" t="n"/>
      <c r="B398" s="1" t="n"/>
      <c r="C398" s="18" t="n"/>
      <c r="D398" s="18" t="n"/>
      <c r="E398" s="1" t="n"/>
      <c r="F398" s="18" t="n"/>
      <c r="G398" s="18" t="n"/>
      <c r="H398" s="18" t="n"/>
      <c r="I398" s="18" t="n"/>
      <c r="J398" s="18" t="n"/>
    </row>
    <row r="399" ht="12.3" customHeight="1" s="75">
      <c r="A399" s="17" t="n"/>
      <c r="B399" s="1" t="n"/>
      <c r="C399" s="18" t="n"/>
      <c r="D399" s="18" t="n"/>
      <c r="E399" s="1" t="n"/>
      <c r="F399" s="18" t="n"/>
      <c r="G399" s="18" t="n"/>
      <c r="H399" s="18" t="n"/>
      <c r="I399" s="18" t="n"/>
      <c r="J399" s="18" t="n"/>
    </row>
    <row r="400" ht="12.3" customHeight="1" s="75">
      <c r="A400" s="17" t="n"/>
      <c r="B400" s="1" t="n"/>
      <c r="C400" s="18" t="n"/>
      <c r="D400" s="18" t="n"/>
      <c r="E400" s="1" t="n"/>
      <c r="F400" s="18" t="n"/>
      <c r="G400" s="18" t="n"/>
      <c r="H400" s="18" t="n"/>
      <c r="I400" s="18" t="n"/>
      <c r="J400" s="18" t="n"/>
    </row>
    <row r="401" ht="12.3" customHeight="1" s="75">
      <c r="A401" s="17" t="n"/>
      <c r="B401" s="1" t="n"/>
      <c r="C401" s="18" t="n"/>
      <c r="D401" s="18" t="n"/>
      <c r="E401" s="1" t="n"/>
      <c r="F401" s="18" t="n"/>
      <c r="G401" s="18" t="n"/>
      <c r="H401" s="18" t="n"/>
      <c r="I401" s="18" t="n"/>
      <c r="J401" s="18" t="n"/>
    </row>
    <row r="402" ht="12.3" customHeight="1" s="75">
      <c r="A402" s="17" t="n"/>
      <c r="B402" s="1" t="n"/>
      <c r="C402" s="18" t="n"/>
      <c r="D402" s="18" t="n"/>
      <c r="E402" s="1" t="n"/>
      <c r="F402" s="18" t="n"/>
      <c r="G402" s="18" t="n"/>
      <c r="H402" s="18" t="n"/>
      <c r="I402" s="18" t="n"/>
      <c r="J402" s="18" t="n"/>
    </row>
    <row r="403" ht="12.3" customHeight="1" s="75">
      <c r="A403" s="17" t="n"/>
      <c r="B403" s="1" t="n"/>
      <c r="C403" s="18" t="n"/>
      <c r="D403" s="18" t="n"/>
      <c r="E403" s="1" t="n"/>
      <c r="F403" s="18" t="n"/>
      <c r="G403" s="18" t="n"/>
      <c r="H403" s="18" t="n"/>
      <c r="I403" s="18" t="n"/>
      <c r="J403" s="18" t="n"/>
    </row>
    <row r="404" ht="12.3" customHeight="1" s="75">
      <c r="A404" s="17" t="n"/>
      <c r="B404" s="1" t="n"/>
      <c r="C404" s="18" t="n"/>
      <c r="D404" s="18" t="n"/>
      <c r="E404" s="1" t="n"/>
      <c r="F404" s="18" t="n"/>
      <c r="G404" s="18" t="n"/>
      <c r="H404" s="18" t="n"/>
      <c r="I404" s="18" t="n"/>
      <c r="J404" s="18" t="n"/>
    </row>
    <row r="405" ht="12.3" customHeight="1" s="75">
      <c r="A405" s="17" t="n"/>
      <c r="B405" s="1" t="n"/>
      <c r="C405" s="18" t="n"/>
      <c r="D405" s="18" t="n"/>
      <c r="E405" s="1" t="n"/>
      <c r="F405" s="18" t="n"/>
      <c r="G405" s="18" t="n"/>
      <c r="H405" s="18" t="n"/>
      <c r="I405" s="18" t="n"/>
      <c r="J405" s="18" t="n"/>
    </row>
    <row r="406" ht="12.3" customHeight="1" s="75">
      <c r="A406" s="17" t="n"/>
      <c r="B406" s="1" t="n"/>
      <c r="C406" s="18" t="n"/>
      <c r="D406" s="18" t="n"/>
      <c r="E406" s="1" t="n"/>
      <c r="F406" s="18" t="n"/>
      <c r="G406" s="18" t="n"/>
      <c r="H406" s="18" t="n"/>
      <c r="I406" s="18" t="n"/>
      <c r="J406" s="18" t="n"/>
    </row>
    <row r="407" ht="12.3" customHeight="1" s="75">
      <c r="A407" s="17" t="n"/>
      <c r="B407" s="1" t="n"/>
      <c r="C407" s="18" t="n"/>
      <c r="D407" s="18" t="n"/>
      <c r="E407" s="1" t="n"/>
      <c r="F407" s="18" t="n"/>
      <c r="G407" s="18" t="n"/>
      <c r="H407" s="18" t="n"/>
      <c r="I407" s="18" t="n"/>
      <c r="J407" s="18" t="n"/>
    </row>
    <row r="408" ht="12.3" customHeight="1" s="75">
      <c r="A408" s="17" t="n"/>
      <c r="B408" s="1" t="n"/>
      <c r="C408" s="18" t="n"/>
      <c r="D408" s="18" t="n"/>
      <c r="E408" s="1" t="n"/>
      <c r="F408" s="18" t="n"/>
      <c r="G408" s="18" t="n"/>
      <c r="H408" s="18" t="n"/>
      <c r="I408" s="18" t="n"/>
      <c r="J408" s="18" t="n"/>
    </row>
    <row r="409" ht="12.3" customHeight="1" s="75">
      <c r="A409" s="17" t="n"/>
      <c r="B409" s="1" t="n"/>
      <c r="C409" s="18" t="n"/>
      <c r="D409" s="18" t="n"/>
      <c r="E409" s="1" t="n"/>
      <c r="F409" s="18" t="n"/>
      <c r="G409" s="18" t="n"/>
      <c r="H409" s="18" t="n"/>
      <c r="I409" s="18" t="n"/>
      <c r="J409" s="18" t="n"/>
    </row>
    <row r="410" ht="12.3" customHeight="1" s="75">
      <c r="A410" s="17" t="n"/>
      <c r="B410" s="1" t="n"/>
      <c r="C410" s="18" t="n"/>
      <c r="D410" s="18" t="n"/>
      <c r="E410" s="1" t="n"/>
      <c r="F410" s="18" t="n"/>
      <c r="G410" s="18" t="n"/>
      <c r="H410" s="18" t="n"/>
      <c r="I410" s="18" t="n"/>
      <c r="J410" s="18" t="n"/>
    </row>
    <row r="411" ht="12.3" customHeight="1" s="75">
      <c r="A411" s="17" t="n"/>
      <c r="B411" s="1" t="n"/>
      <c r="C411" s="18" t="n"/>
      <c r="D411" s="18" t="n"/>
      <c r="E411" s="1" t="n"/>
      <c r="F411" s="18" t="n"/>
      <c r="G411" s="18" t="n"/>
      <c r="H411" s="18" t="n"/>
      <c r="I411" s="18" t="n"/>
      <c r="J411" s="18" t="n"/>
    </row>
    <row r="412" ht="12.3" customHeight="1" s="75">
      <c r="A412" s="17" t="n"/>
      <c r="B412" s="1" t="n"/>
      <c r="C412" s="18" t="n"/>
      <c r="D412" s="18" t="n"/>
      <c r="E412" s="1" t="n"/>
      <c r="F412" s="18" t="n"/>
      <c r="G412" s="18" t="n"/>
      <c r="H412" s="18" t="n"/>
      <c r="I412" s="18" t="n"/>
      <c r="J412" s="18" t="n"/>
    </row>
    <row r="413" ht="12.3" customHeight="1" s="75">
      <c r="A413" s="17" t="n"/>
      <c r="B413" s="1" t="n"/>
      <c r="C413" s="18" t="n"/>
      <c r="D413" s="18" t="n"/>
      <c r="E413" s="1" t="n"/>
      <c r="F413" s="18" t="n"/>
      <c r="G413" s="18" t="n"/>
      <c r="H413" s="18" t="n"/>
      <c r="I413" s="18" t="n"/>
      <c r="J413" s="18" t="n"/>
    </row>
    <row r="414" ht="12.3" customHeight="1" s="75">
      <c r="A414" s="17" t="n"/>
      <c r="B414" s="1" t="n"/>
      <c r="C414" s="18" t="n"/>
      <c r="D414" s="18" t="n"/>
      <c r="E414" s="1" t="n"/>
      <c r="F414" s="18" t="n"/>
      <c r="G414" s="18" t="n"/>
      <c r="H414" s="18" t="n"/>
      <c r="I414" s="18" t="n"/>
      <c r="J414" s="18" t="n"/>
    </row>
    <row r="415" ht="12.3" customHeight="1" s="75">
      <c r="A415" s="17" t="n"/>
      <c r="B415" s="1" t="n"/>
      <c r="C415" s="18" t="n"/>
      <c r="D415" s="18" t="n"/>
      <c r="E415" s="1" t="n"/>
      <c r="F415" s="18" t="n"/>
      <c r="G415" s="18" t="n"/>
      <c r="H415" s="18" t="n"/>
      <c r="I415" s="18" t="n"/>
      <c r="J415" s="18" t="n"/>
    </row>
    <row r="416" ht="12.3" customHeight="1" s="75">
      <c r="A416" s="17" t="n"/>
      <c r="B416" s="1" t="n"/>
      <c r="C416" s="18" t="n"/>
      <c r="D416" s="18" t="n"/>
      <c r="E416" s="1" t="n"/>
      <c r="F416" s="18" t="n"/>
      <c r="G416" s="18" t="n"/>
      <c r="H416" s="18" t="n"/>
      <c r="I416" s="18" t="n"/>
      <c r="J416" s="18" t="n"/>
    </row>
    <row r="417" ht="12.3" customHeight="1" s="75">
      <c r="A417" s="17" t="n"/>
      <c r="B417" s="1" t="n"/>
      <c r="C417" s="18" t="n"/>
      <c r="D417" s="18" t="n"/>
      <c r="E417" s="1" t="n"/>
      <c r="F417" s="18" t="n"/>
      <c r="G417" s="18" t="n"/>
      <c r="H417" s="18" t="n"/>
      <c r="I417" s="18" t="n"/>
      <c r="J417" s="18" t="n"/>
    </row>
    <row r="418" ht="12.3" customHeight="1" s="75">
      <c r="A418" s="17" t="n"/>
      <c r="B418" s="1" t="n"/>
      <c r="C418" s="18" t="n"/>
      <c r="D418" s="18" t="n"/>
      <c r="E418" s="1" t="n"/>
      <c r="F418" s="18" t="n"/>
      <c r="G418" s="18" t="n"/>
      <c r="H418" s="18" t="n"/>
      <c r="I418" s="18" t="n"/>
      <c r="J418" s="18" t="n"/>
    </row>
    <row r="419" ht="12.3" customHeight="1" s="75">
      <c r="A419" s="17" t="n"/>
      <c r="B419" s="1" t="n"/>
      <c r="C419" s="18" t="n"/>
      <c r="D419" s="18" t="n"/>
      <c r="E419" s="1" t="n"/>
      <c r="F419" s="18" t="n"/>
      <c r="G419" s="18" t="n"/>
      <c r="H419" s="18" t="n"/>
      <c r="I419" s="18" t="n"/>
      <c r="J419" s="18" t="n"/>
    </row>
    <row r="420" ht="12.3" customHeight="1" s="75">
      <c r="A420" s="17" t="n"/>
      <c r="B420" s="1" t="n"/>
      <c r="C420" s="18" t="n"/>
      <c r="D420" s="18" t="n"/>
      <c r="E420" s="1" t="n"/>
      <c r="F420" s="18" t="n"/>
      <c r="G420" s="18" t="n"/>
      <c r="H420" s="18" t="n"/>
      <c r="I420" s="18" t="n"/>
      <c r="J420" s="18" t="n"/>
    </row>
    <row r="421" ht="12.3" customHeight="1" s="75">
      <c r="A421" s="17" t="n"/>
      <c r="B421" s="1" t="n"/>
      <c r="C421" s="18" t="n"/>
      <c r="D421" s="18" t="n"/>
      <c r="E421" s="1" t="n"/>
      <c r="F421" s="18" t="n"/>
      <c r="G421" s="18" t="n"/>
      <c r="H421" s="18" t="n"/>
      <c r="I421" s="18" t="n"/>
      <c r="J421" s="18" t="n"/>
    </row>
    <row r="422" ht="12.3" customHeight="1" s="75">
      <c r="A422" s="17" t="n"/>
      <c r="B422" s="1" t="n"/>
      <c r="C422" s="18" t="n"/>
      <c r="D422" s="18" t="n"/>
      <c r="E422" s="1" t="n"/>
      <c r="F422" s="18" t="n"/>
      <c r="G422" s="18" t="n"/>
      <c r="H422" s="18" t="n"/>
      <c r="I422" s="18" t="n"/>
      <c r="J422" s="18" t="n"/>
    </row>
    <row r="423" ht="12.3" customHeight="1" s="75">
      <c r="A423" s="17" t="n"/>
      <c r="B423" s="1" t="n"/>
      <c r="C423" s="18" t="n"/>
      <c r="D423" s="18" t="n"/>
      <c r="E423" s="1" t="n"/>
      <c r="F423" s="18" t="n"/>
      <c r="G423" s="18" t="n"/>
      <c r="H423" s="18" t="n"/>
      <c r="I423" s="18" t="n"/>
      <c r="J423" s="18" t="n"/>
    </row>
    <row r="424" ht="12.3" customHeight="1" s="75">
      <c r="A424" s="17" t="n"/>
      <c r="B424" s="1" t="n"/>
      <c r="C424" s="18" t="n"/>
      <c r="D424" s="18" t="n"/>
      <c r="E424" s="1" t="n"/>
      <c r="F424" s="18" t="n"/>
      <c r="G424" s="18" t="n"/>
      <c r="H424" s="18" t="n"/>
      <c r="I424" s="18" t="n"/>
      <c r="J424" s="18" t="n"/>
    </row>
    <row r="425" ht="12.3" customHeight="1" s="75">
      <c r="A425" s="17" t="n"/>
      <c r="B425" s="1" t="n"/>
      <c r="C425" s="18" t="n"/>
      <c r="D425" s="18" t="n"/>
      <c r="E425" s="1" t="n"/>
      <c r="F425" s="18" t="n"/>
      <c r="G425" s="18" t="n"/>
      <c r="H425" s="18" t="n"/>
      <c r="I425" s="18" t="n"/>
      <c r="J425" s="18" t="n"/>
    </row>
    <row r="426" ht="12.3" customHeight="1" s="75">
      <c r="A426" s="17" t="n"/>
      <c r="B426" s="1" t="n"/>
      <c r="C426" s="18" t="n"/>
      <c r="D426" s="18" t="n"/>
      <c r="E426" s="1" t="n"/>
      <c r="F426" s="18" t="n"/>
      <c r="G426" s="18" t="n"/>
      <c r="H426" s="18" t="n"/>
      <c r="I426" s="18" t="n"/>
      <c r="J426" s="18" t="n"/>
    </row>
    <row r="427" ht="12.3" customHeight="1" s="75">
      <c r="A427" s="17" t="n"/>
      <c r="B427" s="1" t="n"/>
      <c r="C427" s="18" t="n"/>
      <c r="D427" s="18" t="n"/>
      <c r="E427" s="1" t="n"/>
      <c r="F427" s="18" t="n"/>
      <c r="G427" s="18" t="n"/>
      <c r="H427" s="18" t="n"/>
      <c r="I427" s="18" t="n"/>
      <c r="J427" s="18" t="n"/>
    </row>
    <row r="428" ht="12.3" customHeight="1" s="75">
      <c r="A428" s="17" t="n"/>
      <c r="B428" s="1" t="n"/>
      <c r="C428" s="18" t="n"/>
      <c r="D428" s="18" t="n"/>
      <c r="E428" s="1" t="n"/>
      <c r="F428" s="18" t="n"/>
      <c r="G428" s="18" t="n"/>
      <c r="H428" s="18" t="n"/>
      <c r="I428" s="18" t="n"/>
      <c r="J428" s="18" t="n"/>
    </row>
    <row r="429" ht="12.3" customHeight="1" s="75">
      <c r="A429" s="17" t="n"/>
      <c r="B429" s="1" t="n"/>
      <c r="C429" s="18" t="n"/>
      <c r="D429" s="18" t="n"/>
      <c r="E429" s="1" t="n"/>
      <c r="F429" s="18" t="n"/>
      <c r="G429" s="18" t="n"/>
      <c r="H429" s="18" t="n"/>
      <c r="I429" s="18" t="n"/>
      <c r="J429" s="18" t="n"/>
    </row>
    <row r="430" ht="12.3" customHeight="1" s="75">
      <c r="A430" s="17" t="n"/>
      <c r="B430" s="1" t="n"/>
      <c r="C430" s="18" t="n"/>
      <c r="D430" s="18" t="n"/>
      <c r="E430" s="1" t="n"/>
      <c r="F430" s="18" t="n"/>
      <c r="G430" s="18" t="n"/>
      <c r="H430" s="18" t="n"/>
      <c r="I430" s="18" t="n"/>
      <c r="J430" s="18" t="n"/>
    </row>
    <row r="431" ht="12.3" customHeight="1" s="75">
      <c r="A431" s="17" t="n"/>
      <c r="B431" s="1" t="n"/>
      <c r="C431" s="18" t="n"/>
      <c r="D431" s="18" t="n"/>
      <c r="E431" s="1" t="n"/>
      <c r="F431" s="18" t="n"/>
      <c r="G431" s="18" t="n"/>
      <c r="H431" s="18" t="n"/>
      <c r="I431" s="18" t="n"/>
      <c r="J431" s="18" t="n"/>
    </row>
    <row r="432" ht="12.3" customHeight="1" s="75">
      <c r="A432" s="17" t="n"/>
      <c r="B432" s="1" t="n"/>
      <c r="C432" s="18" t="n"/>
      <c r="D432" s="18" t="n"/>
      <c r="E432" s="1" t="n"/>
      <c r="F432" s="18" t="n"/>
      <c r="G432" s="18" t="n"/>
      <c r="H432" s="18" t="n"/>
      <c r="I432" s="18" t="n"/>
      <c r="J432" s="18" t="n"/>
    </row>
    <row r="433" ht="12.3" customHeight="1" s="75">
      <c r="A433" s="17" t="n"/>
      <c r="B433" s="1" t="n"/>
      <c r="C433" s="18" t="n"/>
      <c r="D433" s="18" t="n"/>
      <c r="E433" s="1" t="n"/>
      <c r="F433" s="18" t="n"/>
      <c r="G433" s="18" t="n"/>
      <c r="H433" s="18" t="n"/>
      <c r="I433" s="18" t="n"/>
      <c r="J433" s="18" t="n"/>
    </row>
    <row r="434" ht="12.3" customHeight="1" s="75">
      <c r="A434" s="17" t="n"/>
      <c r="B434" s="1" t="n"/>
      <c r="C434" s="18" t="n"/>
      <c r="D434" s="18" t="n"/>
      <c r="E434" s="1" t="n"/>
      <c r="F434" s="18" t="n"/>
      <c r="G434" s="18" t="n"/>
      <c r="H434" s="18" t="n"/>
      <c r="I434" s="18" t="n"/>
      <c r="J434" s="18" t="n"/>
    </row>
    <row r="435" ht="12.3" customHeight="1" s="75">
      <c r="A435" s="17" t="n"/>
      <c r="B435" s="1" t="n"/>
      <c r="C435" s="18" t="n"/>
      <c r="D435" s="18" t="n"/>
      <c r="E435" s="1" t="n"/>
      <c r="F435" s="18" t="n"/>
      <c r="G435" s="18" t="n"/>
      <c r="H435" s="18" t="n"/>
      <c r="I435" s="18" t="n"/>
      <c r="J435" s="18" t="n"/>
    </row>
    <row r="436" ht="12.3" customHeight="1" s="75">
      <c r="A436" s="17" t="n"/>
      <c r="B436" s="1" t="n"/>
      <c r="C436" s="18" t="n"/>
      <c r="D436" s="18" t="n"/>
      <c r="E436" s="1" t="n"/>
      <c r="F436" s="18" t="n"/>
      <c r="G436" s="18" t="n"/>
      <c r="H436" s="18" t="n"/>
      <c r="I436" s="18" t="n"/>
      <c r="J436" s="18" t="n"/>
    </row>
    <row r="437" ht="12.3" customHeight="1" s="75">
      <c r="A437" s="17" t="n"/>
      <c r="B437" s="1" t="n"/>
      <c r="C437" s="18" t="n"/>
      <c r="D437" s="18" t="n"/>
      <c r="E437" s="1" t="n"/>
      <c r="F437" s="18" t="n"/>
      <c r="G437" s="18" t="n"/>
      <c r="H437" s="18" t="n"/>
      <c r="I437" s="18" t="n"/>
      <c r="J437" s="18" t="n"/>
    </row>
    <row r="438" ht="12.3" customHeight="1" s="75">
      <c r="A438" s="17" t="n"/>
      <c r="B438" s="1" t="n"/>
      <c r="C438" s="18" t="n"/>
      <c r="D438" s="18" t="n"/>
      <c r="E438" s="1" t="n"/>
      <c r="F438" s="18" t="n"/>
      <c r="G438" s="18" t="n"/>
      <c r="H438" s="18" t="n"/>
      <c r="I438" s="18" t="n"/>
      <c r="J438" s="18" t="n"/>
    </row>
    <row r="439" ht="12.3" customHeight="1" s="75">
      <c r="A439" s="17" t="n"/>
      <c r="B439" s="1" t="n"/>
      <c r="C439" s="18" t="n"/>
      <c r="D439" s="18" t="n"/>
      <c r="E439" s="1" t="n"/>
      <c r="F439" s="18" t="n"/>
      <c r="G439" s="18" t="n"/>
      <c r="H439" s="18" t="n"/>
      <c r="I439" s="18" t="n"/>
      <c r="J439" s="18" t="n"/>
    </row>
    <row r="440" ht="12.3" customHeight="1" s="75">
      <c r="A440" s="17" t="n"/>
      <c r="B440" s="1" t="n"/>
      <c r="C440" s="18" t="n"/>
      <c r="D440" s="18" t="n"/>
      <c r="E440" s="1" t="n"/>
      <c r="F440" s="18" t="n"/>
      <c r="G440" s="18" t="n"/>
      <c r="H440" s="18" t="n"/>
      <c r="I440" s="18" t="n"/>
      <c r="J440" s="18" t="n"/>
    </row>
    <row r="441" ht="12.3" customHeight="1" s="75">
      <c r="A441" s="17" t="n"/>
      <c r="B441" s="1" t="n"/>
      <c r="C441" s="18" t="n"/>
      <c r="D441" s="18" t="n"/>
      <c r="E441" s="1" t="n"/>
      <c r="F441" s="18" t="n"/>
      <c r="G441" s="18" t="n"/>
      <c r="H441" s="18" t="n"/>
      <c r="I441" s="18" t="n"/>
      <c r="J441" s="18" t="n"/>
    </row>
    <row r="442" ht="12.3" customHeight="1" s="75">
      <c r="A442" s="17" t="n"/>
      <c r="B442" s="1" t="n"/>
      <c r="C442" s="18" t="n"/>
      <c r="D442" s="18" t="n"/>
      <c r="E442" s="1" t="n"/>
      <c r="F442" s="18" t="n"/>
      <c r="G442" s="18" t="n"/>
      <c r="H442" s="18" t="n"/>
      <c r="I442" s="18" t="n"/>
      <c r="J442" s="18" t="n"/>
    </row>
    <row r="443" ht="12.3" customHeight="1" s="75">
      <c r="A443" s="17" t="n"/>
      <c r="B443" s="1" t="n"/>
      <c r="C443" s="18" t="n"/>
      <c r="D443" s="18" t="n"/>
      <c r="E443" s="1" t="n"/>
      <c r="F443" s="18" t="n"/>
      <c r="G443" s="18" t="n"/>
      <c r="H443" s="18" t="n"/>
      <c r="I443" s="18" t="n"/>
      <c r="J443" s="18" t="n"/>
    </row>
    <row r="444" ht="12.3" customHeight="1" s="75">
      <c r="A444" s="17" t="n"/>
      <c r="B444" s="1" t="n"/>
      <c r="C444" s="18" t="n"/>
      <c r="D444" s="18" t="n"/>
      <c r="E444" s="1" t="n"/>
      <c r="F444" s="18" t="n"/>
      <c r="G444" s="18" t="n"/>
      <c r="H444" s="18" t="n"/>
      <c r="I444" s="18" t="n"/>
      <c r="J444" s="18" t="n"/>
    </row>
    <row r="445" ht="12.3" customHeight="1" s="75">
      <c r="A445" s="17" t="n"/>
      <c r="B445" s="1" t="n"/>
      <c r="C445" s="18" t="n"/>
      <c r="D445" s="18" t="n"/>
      <c r="E445" s="1" t="n"/>
      <c r="F445" s="18" t="n"/>
      <c r="G445" s="18" t="n"/>
      <c r="H445" s="18" t="n"/>
      <c r="I445" s="18" t="n"/>
      <c r="J445" s="18" t="n"/>
    </row>
    <row r="446" ht="12.3" customHeight="1" s="75">
      <c r="A446" s="17" t="n"/>
      <c r="B446" s="1" t="n"/>
      <c r="C446" s="18" t="n"/>
      <c r="D446" s="18" t="n"/>
      <c r="E446" s="1" t="n"/>
      <c r="F446" s="18" t="n"/>
      <c r="G446" s="18" t="n"/>
      <c r="H446" s="18" t="n"/>
      <c r="I446" s="18" t="n"/>
      <c r="J446" s="18" t="n"/>
    </row>
    <row r="447" ht="12.3" customHeight="1" s="75">
      <c r="A447" s="17" t="n"/>
      <c r="B447" s="1" t="n"/>
      <c r="C447" s="18" t="n"/>
      <c r="D447" s="18" t="n"/>
      <c r="E447" s="1" t="n"/>
      <c r="F447" s="18" t="n"/>
      <c r="G447" s="18" t="n"/>
      <c r="H447" s="18" t="n"/>
      <c r="I447" s="18" t="n"/>
      <c r="J447" s="18" t="n"/>
    </row>
    <row r="448" ht="12.3" customHeight="1" s="75">
      <c r="A448" s="17" t="n"/>
      <c r="B448" s="1" t="n"/>
      <c r="C448" s="18" t="n"/>
      <c r="D448" s="18" t="n"/>
      <c r="E448" s="1" t="n"/>
      <c r="F448" s="18" t="n"/>
      <c r="G448" s="18" t="n"/>
      <c r="H448" s="18" t="n"/>
      <c r="I448" s="18" t="n"/>
      <c r="J448" s="18" t="n"/>
    </row>
    <row r="449" ht="12.3" customHeight="1" s="75">
      <c r="A449" s="17" t="n"/>
      <c r="B449" s="1" t="n"/>
      <c r="C449" s="18" t="n"/>
      <c r="D449" s="18" t="n"/>
      <c r="E449" s="1" t="n"/>
      <c r="F449" s="18" t="n"/>
      <c r="G449" s="18" t="n"/>
      <c r="H449" s="18" t="n"/>
      <c r="I449" s="18" t="n"/>
      <c r="J449" s="18" t="n"/>
    </row>
    <row r="450" ht="12.3" customHeight="1" s="75">
      <c r="A450" s="17" t="n"/>
      <c r="B450" s="1" t="n"/>
      <c r="C450" s="18" t="n"/>
      <c r="D450" s="18" t="n"/>
      <c r="E450" s="1" t="n"/>
      <c r="F450" s="18" t="n"/>
      <c r="G450" s="18" t="n"/>
      <c r="H450" s="18" t="n"/>
      <c r="I450" s="18" t="n"/>
      <c r="J450" s="18" t="n"/>
    </row>
    <row r="451" ht="12.3" customHeight="1" s="75">
      <c r="A451" s="17" t="n"/>
      <c r="B451" s="1" t="n"/>
      <c r="C451" s="18" t="n"/>
      <c r="D451" s="18" t="n"/>
      <c r="E451" s="1" t="n"/>
      <c r="F451" s="18" t="n"/>
      <c r="G451" s="18" t="n"/>
      <c r="H451" s="18" t="n"/>
      <c r="I451" s="18" t="n"/>
      <c r="J451" s="18" t="n"/>
    </row>
    <row r="452" ht="12.3" customHeight="1" s="75">
      <c r="A452" s="17" t="n"/>
      <c r="B452" s="1" t="n"/>
      <c r="C452" s="18" t="n"/>
      <c r="D452" s="18" t="n"/>
      <c r="E452" s="1" t="n"/>
      <c r="F452" s="18" t="n"/>
      <c r="G452" s="18" t="n"/>
      <c r="H452" s="18" t="n"/>
      <c r="I452" s="18" t="n"/>
      <c r="J452" s="18" t="n"/>
    </row>
    <row r="453" ht="12.3" customHeight="1" s="75">
      <c r="A453" s="17" t="n"/>
      <c r="B453" s="1" t="n"/>
      <c r="C453" s="18" t="n"/>
      <c r="D453" s="18" t="n"/>
      <c r="E453" s="1" t="n"/>
      <c r="F453" s="18" t="n"/>
      <c r="G453" s="18" t="n"/>
      <c r="H453" s="18" t="n"/>
      <c r="I453" s="18" t="n"/>
      <c r="J453" s="18" t="n"/>
    </row>
    <row r="454" ht="12.3" customHeight="1" s="75">
      <c r="A454" s="17" t="n"/>
      <c r="B454" s="1" t="n"/>
      <c r="C454" s="18" t="n"/>
      <c r="D454" s="18" t="n"/>
      <c r="E454" s="1" t="n"/>
      <c r="F454" s="18" t="n"/>
      <c r="G454" s="18" t="n"/>
      <c r="H454" s="18" t="n"/>
      <c r="I454" s="18" t="n"/>
      <c r="J454" s="18" t="n"/>
    </row>
    <row r="455" ht="12.3" customHeight="1" s="75">
      <c r="A455" s="17" t="n"/>
      <c r="B455" s="1" t="n"/>
      <c r="C455" s="18" t="n"/>
      <c r="D455" s="18" t="n"/>
      <c r="E455" s="1" t="n"/>
      <c r="F455" s="18" t="n"/>
      <c r="G455" s="18" t="n"/>
      <c r="H455" s="18" t="n"/>
      <c r="I455" s="18" t="n"/>
      <c r="J455" s="18" t="n"/>
    </row>
    <row r="456" ht="12.3" customHeight="1" s="75">
      <c r="A456" s="17" t="n"/>
      <c r="B456" s="1" t="n"/>
      <c r="C456" s="18" t="n"/>
      <c r="D456" s="18" t="n"/>
      <c r="E456" s="1" t="n"/>
      <c r="F456" s="18" t="n"/>
      <c r="G456" s="18" t="n"/>
      <c r="H456" s="18" t="n"/>
      <c r="I456" s="18" t="n"/>
      <c r="J456" s="18" t="n"/>
    </row>
    <row r="457" ht="12.3" customHeight="1" s="75">
      <c r="A457" s="17" t="n"/>
      <c r="B457" s="1" t="n"/>
      <c r="C457" s="18" t="n"/>
      <c r="D457" s="18" t="n"/>
      <c r="E457" s="1" t="n"/>
      <c r="F457" s="18" t="n"/>
      <c r="G457" s="18" t="n"/>
      <c r="H457" s="18" t="n"/>
      <c r="I457" s="18" t="n"/>
      <c r="J457" s="18" t="n"/>
    </row>
    <row r="458" ht="12.3" customHeight="1" s="75">
      <c r="A458" s="17" t="n"/>
      <c r="B458" s="1" t="n"/>
      <c r="C458" s="18" t="n"/>
      <c r="D458" s="18" t="n"/>
      <c r="E458" s="1" t="n"/>
      <c r="F458" s="18" t="n"/>
      <c r="G458" s="18" t="n"/>
      <c r="H458" s="18" t="n"/>
      <c r="I458" s="18" t="n"/>
      <c r="J458" s="18" t="n"/>
    </row>
    <row r="459" ht="12.3" customHeight="1" s="75">
      <c r="A459" s="17" t="n"/>
      <c r="B459" s="1" t="n"/>
      <c r="C459" s="18" t="n"/>
      <c r="D459" s="18" t="n"/>
      <c r="E459" s="1" t="n"/>
      <c r="F459" s="18" t="n"/>
      <c r="G459" s="18" t="n"/>
      <c r="H459" s="18" t="n"/>
      <c r="I459" s="18" t="n"/>
      <c r="J459" s="18" t="n"/>
    </row>
    <row r="460" ht="12.3" customHeight="1" s="75">
      <c r="A460" s="17" t="n"/>
      <c r="B460" s="1" t="n"/>
      <c r="C460" s="18" t="n"/>
      <c r="D460" s="18" t="n"/>
      <c r="E460" s="1" t="n"/>
      <c r="F460" s="18" t="n"/>
      <c r="G460" s="18" t="n"/>
      <c r="H460" s="18" t="n"/>
      <c r="I460" s="18" t="n"/>
      <c r="J460" s="18" t="n"/>
    </row>
    <row r="461" ht="12.3" customHeight="1" s="75">
      <c r="A461" s="17" t="n"/>
      <c r="B461" s="1" t="n"/>
      <c r="C461" s="18" t="n"/>
      <c r="D461" s="18" t="n"/>
      <c r="E461" s="1" t="n"/>
      <c r="F461" s="18" t="n"/>
      <c r="G461" s="18" t="n"/>
      <c r="H461" s="18" t="n"/>
      <c r="I461" s="18" t="n"/>
      <c r="J461" s="18" t="n"/>
    </row>
    <row r="462" ht="12.3" customHeight="1" s="75">
      <c r="A462" s="17" t="n"/>
      <c r="B462" s="1" t="n"/>
      <c r="C462" s="18" t="n"/>
      <c r="D462" s="18" t="n"/>
      <c r="E462" s="1" t="n"/>
      <c r="F462" s="18" t="n"/>
      <c r="G462" s="18" t="n"/>
      <c r="H462" s="18" t="n"/>
      <c r="I462" s="18" t="n"/>
      <c r="J462" s="18" t="n"/>
    </row>
    <row r="463" ht="12.3" customHeight="1" s="75">
      <c r="A463" s="17" t="n"/>
      <c r="B463" s="1" t="n"/>
      <c r="C463" s="18" t="n"/>
      <c r="D463" s="18" t="n"/>
      <c r="E463" s="1" t="n"/>
      <c r="F463" s="18" t="n"/>
      <c r="G463" s="18" t="n"/>
      <c r="H463" s="18" t="n"/>
      <c r="I463" s="18" t="n"/>
      <c r="J463" s="18" t="n"/>
    </row>
    <row r="464" ht="12.3" customHeight="1" s="75">
      <c r="A464" s="17" t="n"/>
      <c r="B464" s="1" t="n"/>
      <c r="C464" s="18" t="n"/>
      <c r="D464" s="18" t="n"/>
      <c r="E464" s="1" t="n"/>
      <c r="F464" s="18" t="n"/>
      <c r="G464" s="18" t="n"/>
      <c r="H464" s="18" t="n"/>
      <c r="I464" s="18" t="n"/>
      <c r="J464" s="18" t="n"/>
    </row>
    <row r="465" ht="12.3" customHeight="1" s="75">
      <c r="A465" s="17" t="n"/>
      <c r="B465" s="1" t="n"/>
      <c r="C465" s="18" t="n"/>
      <c r="D465" s="18" t="n"/>
      <c r="E465" s="1" t="n"/>
      <c r="F465" s="18" t="n"/>
      <c r="G465" s="18" t="n"/>
      <c r="H465" s="18" t="n"/>
      <c r="I465" s="18" t="n"/>
      <c r="J465" s="18" t="n"/>
    </row>
    <row r="466" ht="12.3" customHeight="1" s="75">
      <c r="A466" s="17" t="n"/>
      <c r="B466" s="1" t="n"/>
      <c r="C466" s="18" t="n"/>
      <c r="D466" s="18" t="n"/>
      <c r="E466" s="1" t="n"/>
      <c r="F466" s="18" t="n"/>
      <c r="G466" s="18" t="n"/>
      <c r="H466" s="18" t="n"/>
      <c r="I466" s="18" t="n"/>
      <c r="J466" s="18" t="n"/>
    </row>
    <row r="467" ht="12.3" customHeight="1" s="75">
      <c r="A467" s="17" t="n"/>
      <c r="B467" s="1" t="n"/>
      <c r="C467" s="18" t="n"/>
      <c r="D467" s="18" t="n"/>
      <c r="E467" s="1" t="n"/>
      <c r="F467" s="18" t="n"/>
      <c r="G467" s="18" t="n"/>
      <c r="H467" s="18" t="n"/>
      <c r="I467" s="18" t="n"/>
      <c r="J467" s="18" t="n"/>
    </row>
    <row r="468" ht="12.3" customHeight="1" s="75">
      <c r="A468" s="17" t="n"/>
      <c r="B468" s="1" t="n"/>
      <c r="C468" s="18" t="n"/>
      <c r="D468" s="18" t="n"/>
      <c r="E468" s="1" t="n"/>
      <c r="F468" s="18" t="n"/>
      <c r="G468" s="18" t="n"/>
      <c r="H468" s="18" t="n"/>
      <c r="I468" s="18" t="n"/>
      <c r="J468" s="18" t="n"/>
    </row>
    <row r="469" ht="12.3" customHeight="1" s="75">
      <c r="A469" s="17" t="n"/>
      <c r="B469" s="1" t="n"/>
      <c r="C469" s="18" t="n"/>
      <c r="D469" s="18" t="n"/>
      <c r="E469" s="1" t="n"/>
      <c r="F469" s="18" t="n"/>
      <c r="G469" s="18" t="n"/>
      <c r="H469" s="18" t="n"/>
      <c r="I469" s="18" t="n"/>
      <c r="J469" s="18" t="n"/>
    </row>
    <row r="470" ht="12.3" customHeight="1" s="75">
      <c r="A470" s="17" t="n"/>
      <c r="B470" s="1" t="n"/>
      <c r="C470" s="18" t="n"/>
      <c r="D470" s="18" t="n"/>
      <c r="E470" s="1" t="n"/>
      <c r="F470" s="18" t="n"/>
      <c r="G470" s="18" t="n"/>
      <c r="H470" s="18" t="n"/>
      <c r="I470" s="18" t="n"/>
      <c r="J470" s="18" t="n"/>
    </row>
    <row r="471" ht="12.3" customHeight="1" s="75">
      <c r="A471" s="17" t="n"/>
      <c r="B471" s="1" t="n"/>
      <c r="C471" s="18" t="n"/>
      <c r="D471" s="18" t="n"/>
      <c r="E471" s="1" t="n"/>
      <c r="F471" s="18" t="n"/>
      <c r="G471" s="18" t="n"/>
      <c r="H471" s="18" t="n"/>
      <c r="I471" s="18" t="n"/>
      <c r="J471" s="18" t="n"/>
    </row>
    <row r="472" ht="12.3" customHeight="1" s="75">
      <c r="A472" s="17" t="n"/>
      <c r="B472" s="1" t="n"/>
      <c r="C472" s="18" t="n"/>
      <c r="D472" s="18" t="n"/>
      <c r="E472" s="1" t="n"/>
      <c r="F472" s="18" t="n"/>
      <c r="G472" s="18" t="n"/>
      <c r="H472" s="18" t="n"/>
      <c r="I472" s="18" t="n"/>
      <c r="J472" s="18" t="n"/>
    </row>
    <row r="473" ht="12.3" customHeight="1" s="75">
      <c r="A473" s="17" t="n"/>
      <c r="B473" s="1" t="n"/>
      <c r="C473" s="18" t="n"/>
      <c r="D473" s="18" t="n"/>
      <c r="E473" s="1" t="n"/>
      <c r="F473" s="18" t="n"/>
      <c r="G473" s="18" t="n"/>
      <c r="H473" s="18" t="n"/>
      <c r="I473" s="18" t="n"/>
      <c r="J473" s="18" t="n"/>
    </row>
    <row r="474" ht="12.3" customHeight="1" s="75">
      <c r="A474" s="17" t="n"/>
      <c r="B474" s="1" t="n"/>
      <c r="C474" s="18" t="n"/>
      <c r="D474" s="18" t="n"/>
      <c r="E474" s="1" t="n"/>
      <c r="F474" s="18" t="n"/>
      <c r="G474" s="18" t="n"/>
      <c r="H474" s="18" t="n"/>
      <c r="I474" s="18" t="n"/>
      <c r="J474" s="18" t="n"/>
    </row>
    <row r="475" ht="12.3" customHeight="1" s="75">
      <c r="A475" s="17" t="n"/>
      <c r="B475" s="1" t="n"/>
      <c r="C475" s="18" t="n"/>
      <c r="D475" s="18" t="n"/>
      <c r="E475" s="1" t="n"/>
      <c r="F475" s="18" t="n"/>
      <c r="G475" s="18" t="n"/>
      <c r="H475" s="18" t="n"/>
      <c r="I475" s="18" t="n"/>
      <c r="J475" s="18" t="n"/>
    </row>
    <row r="476" ht="12.3" customHeight="1" s="75">
      <c r="A476" s="17" t="n"/>
      <c r="B476" s="1" t="n"/>
      <c r="C476" s="18" t="n"/>
      <c r="D476" s="18" t="n"/>
      <c r="E476" s="1" t="n"/>
      <c r="F476" s="18" t="n"/>
      <c r="G476" s="18" t="n"/>
      <c r="H476" s="18" t="n"/>
      <c r="I476" s="18" t="n"/>
      <c r="J476" s="18" t="n"/>
    </row>
    <row r="477" ht="12.3" customHeight="1" s="75">
      <c r="A477" s="17" t="n"/>
      <c r="B477" s="1" t="n"/>
      <c r="C477" s="18" t="n"/>
      <c r="D477" s="18" t="n"/>
      <c r="E477" s="1" t="n"/>
      <c r="F477" s="18" t="n"/>
      <c r="G477" s="18" t="n"/>
      <c r="H477" s="18" t="n"/>
      <c r="I477" s="18" t="n"/>
      <c r="J477" s="18" t="n"/>
    </row>
    <row r="478" ht="12.3" customHeight="1" s="75">
      <c r="A478" s="17" t="n"/>
      <c r="B478" s="1" t="n"/>
      <c r="C478" s="18" t="n"/>
      <c r="D478" s="18" t="n"/>
      <c r="E478" s="1" t="n"/>
      <c r="F478" s="18" t="n"/>
      <c r="G478" s="18" t="n"/>
      <c r="H478" s="18" t="n"/>
      <c r="I478" s="18" t="n"/>
      <c r="J478" s="18" t="n"/>
    </row>
    <row r="479" ht="12.3" customHeight="1" s="75">
      <c r="A479" s="17" t="n"/>
      <c r="B479" s="1" t="n"/>
      <c r="C479" s="18" t="n"/>
      <c r="D479" s="18" t="n"/>
      <c r="E479" s="1" t="n"/>
      <c r="F479" s="18" t="n"/>
      <c r="G479" s="18" t="n"/>
      <c r="H479" s="18" t="n"/>
      <c r="I479" s="18" t="n"/>
      <c r="J479" s="18" t="n"/>
    </row>
    <row r="480" ht="12.3" customHeight="1" s="75">
      <c r="A480" s="17" t="n"/>
      <c r="B480" s="1" t="n"/>
      <c r="C480" s="18" t="n"/>
      <c r="D480" s="18" t="n"/>
      <c r="E480" s="1" t="n"/>
      <c r="F480" s="18" t="n"/>
      <c r="G480" s="18" t="n"/>
      <c r="H480" s="18" t="n"/>
      <c r="I480" s="18" t="n"/>
      <c r="J480" s="18" t="n"/>
    </row>
    <row r="481" ht="12.3" customHeight="1" s="75">
      <c r="A481" s="17" t="n"/>
      <c r="B481" s="1" t="n"/>
      <c r="C481" s="18" t="n"/>
      <c r="D481" s="18" t="n"/>
      <c r="E481" s="1" t="n"/>
      <c r="F481" s="18" t="n"/>
      <c r="G481" s="18" t="n"/>
      <c r="H481" s="18" t="n"/>
      <c r="I481" s="18" t="n"/>
      <c r="J481" s="18" t="n"/>
    </row>
    <row r="482" ht="12.3" customHeight="1" s="75">
      <c r="A482" s="17" t="n"/>
      <c r="B482" s="1" t="n"/>
      <c r="C482" s="18" t="n"/>
      <c r="D482" s="18" t="n"/>
      <c r="E482" s="1" t="n"/>
      <c r="F482" s="18" t="n"/>
      <c r="G482" s="18" t="n"/>
      <c r="H482" s="18" t="n"/>
      <c r="I482" s="18" t="n"/>
      <c r="J482" s="18" t="n"/>
    </row>
    <row r="483" ht="12.3" customHeight="1" s="75">
      <c r="A483" s="17" t="n"/>
      <c r="B483" s="1" t="n"/>
      <c r="C483" s="18" t="n"/>
      <c r="D483" s="18" t="n"/>
      <c r="E483" s="1" t="n"/>
      <c r="F483" s="18" t="n"/>
      <c r="G483" s="18" t="n"/>
      <c r="H483" s="18" t="n"/>
      <c r="I483" s="18" t="n"/>
      <c r="J483" s="18" t="n"/>
    </row>
    <row r="484" ht="12.3" customHeight="1" s="75">
      <c r="A484" s="17" t="n"/>
      <c r="B484" s="1" t="n"/>
      <c r="C484" s="18" t="n"/>
      <c r="D484" s="18" t="n"/>
      <c r="E484" s="1" t="n"/>
      <c r="F484" s="18" t="n"/>
      <c r="G484" s="18" t="n"/>
      <c r="H484" s="18" t="n"/>
      <c r="I484" s="18" t="n"/>
      <c r="J484" s="18" t="n"/>
    </row>
    <row r="485" ht="12.3" customHeight="1" s="75">
      <c r="A485" s="17" t="n"/>
      <c r="B485" s="1" t="n"/>
      <c r="C485" s="18" t="n"/>
      <c r="D485" s="18" t="n"/>
      <c r="E485" s="1" t="n"/>
      <c r="F485" s="18" t="n"/>
      <c r="G485" s="18" t="n"/>
      <c r="H485" s="18" t="n"/>
      <c r="I485" s="18" t="n"/>
      <c r="J485" s="18" t="n"/>
    </row>
    <row r="486" ht="12.3" customHeight="1" s="75">
      <c r="A486" s="17" t="n"/>
      <c r="B486" s="1" t="n"/>
      <c r="C486" s="18" t="n"/>
      <c r="D486" s="18" t="n"/>
      <c r="E486" s="1" t="n"/>
      <c r="F486" s="18" t="n"/>
      <c r="G486" s="18" t="n"/>
      <c r="H486" s="18" t="n"/>
      <c r="I486" s="18" t="n"/>
      <c r="J486" s="18" t="n"/>
    </row>
    <row r="487" ht="12.3" customHeight="1" s="75">
      <c r="A487" s="17" t="n"/>
      <c r="B487" s="1" t="n"/>
      <c r="C487" s="18" t="n"/>
      <c r="D487" s="18" t="n"/>
      <c r="E487" s="1" t="n"/>
      <c r="F487" s="18" t="n"/>
      <c r="G487" s="18" t="n"/>
      <c r="H487" s="18" t="n"/>
      <c r="I487" s="18" t="n"/>
      <c r="J487" s="18" t="n"/>
    </row>
    <row r="488" ht="12.3" customHeight="1" s="75">
      <c r="A488" s="17" t="n"/>
      <c r="B488" s="1" t="n"/>
      <c r="C488" s="18" t="n"/>
      <c r="D488" s="18" t="n"/>
      <c r="E488" s="1" t="n"/>
      <c r="F488" s="18" t="n"/>
      <c r="G488" s="18" t="n"/>
      <c r="H488" s="18" t="n"/>
      <c r="I488" s="18" t="n"/>
      <c r="J488" s="18" t="n"/>
    </row>
    <row r="489" ht="12.3" customHeight="1" s="75">
      <c r="A489" s="17" t="n"/>
      <c r="B489" s="1" t="n"/>
      <c r="C489" s="18" t="n"/>
      <c r="D489" s="18" t="n"/>
      <c r="E489" s="1" t="n"/>
      <c r="F489" s="18" t="n"/>
      <c r="G489" s="18" t="n"/>
      <c r="H489" s="18" t="n"/>
      <c r="I489" s="18" t="n"/>
      <c r="J489" s="18" t="n"/>
    </row>
    <row r="490" ht="12.3" customHeight="1" s="75">
      <c r="A490" s="17" t="n"/>
      <c r="B490" s="1" t="n"/>
      <c r="C490" s="18" t="n"/>
      <c r="D490" s="18" t="n"/>
      <c r="E490" s="1" t="n"/>
      <c r="F490" s="18" t="n"/>
      <c r="G490" s="18" t="n"/>
      <c r="H490" s="18" t="n"/>
      <c r="I490" s="18" t="n"/>
      <c r="J490" s="18" t="n"/>
    </row>
    <row r="491" ht="12.3" customHeight="1" s="75">
      <c r="A491" s="17" t="n"/>
      <c r="B491" s="1" t="n"/>
      <c r="C491" s="18" t="n"/>
      <c r="D491" s="18" t="n"/>
      <c r="E491" s="1" t="n"/>
      <c r="F491" s="18" t="n"/>
      <c r="G491" s="18" t="n"/>
      <c r="H491" s="18" t="n"/>
      <c r="I491" s="18" t="n"/>
      <c r="J491" s="18" t="n"/>
    </row>
    <row r="492" ht="12.3" customHeight="1" s="75">
      <c r="A492" s="17" t="n"/>
      <c r="B492" s="1" t="n"/>
      <c r="C492" s="18" t="n"/>
      <c r="D492" s="18" t="n"/>
      <c r="E492" s="1" t="n"/>
      <c r="F492" s="18" t="n"/>
      <c r="G492" s="18" t="n"/>
      <c r="H492" s="18" t="n"/>
      <c r="I492" s="18" t="n"/>
      <c r="J492" s="18" t="n"/>
    </row>
    <row r="493" ht="12.3" customHeight="1" s="75">
      <c r="A493" s="17" t="n"/>
      <c r="B493" s="1" t="n"/>
      <c r="C493" s="18" t="n"/>
      <c r="D493" s="18" t="n"/>
      <c r="E493" s="1" t="n"/>
      <c r="F493" s="18" t="n"/>
      <c r="G493" s="18" t="n"/>
      <c r="H493" s="18" t="n"/>
      <c r="I493" s="18" t="n"/>
      <c r="J493" s="18" t="n"/>
    </row>
    <row r="494" ht="12.3" customHeight="1" s="75">
      <c r="A494" s="17" t="n"/>
      <c r="B494" s="1" t="n"/>
      <c r="C494" s="18" t="n"/>
      <c r="D494" s="18" t="n"/>
      <c r="E494" s="1" t="n"/>
      <c r="F494" s="18" t="n"/>
      <c r="G494" s="18" t="n"/>
      <c r="H494" s="18" t="n"/>
      <c r="I494" s="18" t="n"/>
      <c r="J494" s="18" t="n"/>
    </row>
    <row r="495" ht="12.3" customHeight="1" s="75">
      <c r="A495" s="17" t="n"/>
      <c r="B495" s="1" t="n"/>
      <c r="C495" s="18" t="n"/>
      <c r="D495" s="18" t="n"/>
      <c r="E495" s="1" t="n"/>
      <c r="F495" s="18" t="n"/>
      <c r="G495" s="18" t="n"/>
      <c r="H495" s="18" t="n"/>
      <c r="I495" s="18" t="n"/>
      <c r="J495" s="18" t="n"/>
    </row>
    <row r="496" ht="12.3" customHeight="1" s="75">
      <c r="A496" s="17" t="n"/>
      <c r="B496" s="1" t="n"/>
      <c r="C496" s="18" t="n"/>
      <c r="D496" s="18" t="n"/>
      <c r="E496" s="1" t="n"/>
      <c r="F496" s="18" t="n"/>
      <c r="G496" s="18" t="n"/>
      <c r="H496" s="18" t="n"/>
      <c r="I496" s="18" t="n"/>
      <c r="J496" s="18" t="n"/>
    </row>
    <row r="497" ht="12.3" customHeight="1" s="75">
      <c r="A497" s="17" t="n"/>
      <c r="B497" s="1" t="n"/>
      <c r="C497" s="18" t="n"/>
      <c r="D497" s="18" t="n"/>
      <c r="E497" s="1" t="n"/>
      <c r="F497" s="18" t="n"/>
      <c r="G497" s="18" t="n"/>
      <c r="H497" s="18" t="n"/>
      <c r="I497" s="18" t="n"/>
      <c r="J497" s="18" t="n"/>
    </row>
    <row r="498" ht="12.3" customHeight="1" s="75">
      <c r="A498" s="17" t="n"/>
      <c r="B498" s="1" t="n"/>
      <c r="C498" s="18" t="n"/>
      <c r="D498" s="18" t="n"/>
      <c r="E498" s="1" t="n"/>
      <c r="F498" s="18" t="n"/>
      <c r="G498" s="18" t="n"/>
      <c r="H498" s="18" t="n"/>
      <c r="I498" s="18" t="n"/>
      <c r="J498" s="18" t="n"/>
    </row>
    <row r="499" ht="12.3" customHeight="1" s="75">
      <c r="A499" s="17" t="n"/>
      <c r="B499" s="1" t="n"/>
      <c r="C499" s="18" t="n"/>
      <c r="D499" s="18" t="n"/>
      <c r="E499" s="1" t="n"/>
      <c r="F499" s="18" t="n"/>
      <c r="G499" s="18" t="n"/>
      <c r="H499" s="18" t="n"/>
      <c r="I499" s="18" t="n"/>
      <c r="J499" s="18" t="n"/>
    </row>
    <row r="500" ht="12.3" customHeight="1" s="75">
      <c r="A500" s="17" t="n"/>
      <c r="B500" s="1" t="n"/>
      <c r="C500" s="18" t="n"/>
      <c r="D500" s="18" t="n"/>
      <c r="E500" s="1" t="n"/>
      <c r="F500" s="18" t="n"/>
      <c r="G500" s="18" t="n"/>
      <c r="H500" s="18" t="n"/>
      <c r="I500" s="18" t="n"/>
      <c r="J500" s="18" t="n"/>
    </row>
    <row r="501" ht="12.3" customHeight="1" s="75">
      <c r="A501" s="17" t="n"/>
      <c r="B501" s="1" t="n"/>
      <c r="C501" s="18" t="n"/>
      <c r="D501" s="18" t="n"/>
      <c r="E501" s="1" t="n"/>
      <c r="F501" s="18" t="n"/>
      <c r="G501" s="18" t="n"/>
      <c r="H501" s="18" t="n"/>
      <c r="I501" s="18" t="n"/>
      <c r="J501" s="18" t="n"/>
    </row>
    <row r="502" ht="12.3" customHeight="1" s="75">
      <c r="A502" s="17" t="n"/>
      <c r="B502" s="1" t="n"/>
      <c r="C502" s="18" t="n"/>
      <c r="D502" s="18" t="n"/>
      <c r="E502" s="1" t="n"/>
      <c r="F502" s="18" t="n"/>
      <c r="G502" s="18" t="n"/>
      <c r="H502" s="18" t="n"/>
      <c r="I502" s="18" t="n"/>
      <c r="J502" s="18" t="n"/>
    </row>
    <row r="503" ht="12.3" customHeight="1" s="75">
      <c r="A503" s="17" t="n"/>
      <c r="B503" s="1" t="n"/>
      <c r="C503" s="18" t="n"/>
      <c r="D503" s="18" t="n"/>
      <c r="E503" s="1" t="n"/>
      <c r="F503" s="18" t="n"/>
      <c r="G503" s="18" t="n"/>
      <c r="H503" s="18" t="n"/>
      <c r="I503" s="18" t="n"/>
      <c r="J503" s="18" t="n"/>
    </row>
    <row r="504" ht="12.3" customHeight="1" s="75">
      <c r="A504" s="17" t="n"/>
      <c r="B504" s="1" t="n"/>
      <c r="C504" s="18" t="n"/>
      <c r="D504" s="18" t="n"/>
      <c r="E504" s="1" t="n"/>
      <c r="F504" s="18" t="n"/>
      <c r="G504" s="18" t="n"/>
      <c r="H504" s="18" t="n"/>
      <c r="I504" s="18" t="n"/>
      <c r="J504" s="18" t="n"/>
    </row>
    <row r="505" ht="12.3" customHeight="1" s="75">
      <c r="A505" s="17" t="n"/>
      <c r="B505" s="1" t="n"/>
      <c r="C505" s="18" t="n"/>
      <c r="D505" s="18" t="n"/>
      <c r="E505" s="1" t="n"/>
      <c r="F505" s="18" t="n"/>
      <c r="G505" s="18" t="n"/>
      <c r="H505" s="18" t="n"/>
      <c r="I505" s="18" t="n"/>
      <c r="J505" s="18" t="n"/>
    </row>
    <row r="506" ht="12.3" customHeight="1" s="75">
      <c r="A506" s="17" t="n"/>
      <c r="B506" s="1" t="n"/>
      <c r="C506" s="18" t="n"/>
      <c r="D506" s="18" t="n"/>
      <c r="E506" s="1" t="n"/>
      <c r="F506" s="18" t="n"/>
      <c r="G506" s="18" t="n"/>
      <c r="H506" s="18" t="n"/>
      <c r="I506" s="18" t="n"/>
      <c r="J506" s="18" t="n"/>
    </row>
    <row r="507" ht="12.3" customHeight="1" s="75">
      <c r="A507" s="17" t="n"/>
      <c r="B507" s="1" t="n"/>
      <c r="C507" s="18" t="n"/>
      <c r="D507" s="18" t="n"/>
      <c r="E507" s="1" t="n"/>
      <c r="F507" s="18" t="n"/>
      <c r="G507" s="18" t="n"/>
      <c r="H507" s="18" t="n"/>
      <c r="I507" s="18" t="n"/>
      <c r="J507" s="18" t="n"/>
    </row>
    <row r="508" ht="12.3" customHeight="1" s="75">
      <c r="A508" s="17" t="n"/>
      <c r="B508" s="1" t="n"/>
      <c r="C508" s="18" t="n"/>
      <c r="D508" s="18" t="n"/>
      <c r="E508" s="1" t="n"/>
      <c r="F508" s="18" t="n"/>
      <c r="G508" s="18" t="n"/>
      <c r="H508" s="18" t="n"/>
      <c r="I508" s="18" t="n"/>
      <c r="J508" s="18" t="n"/>
    </row>
    <row r="509" ht="12.3" customHeight="1" s="75">
      <c r="A509" s="17" t="n"/>
      <c r="B509" s="1" t="n"/>
      <c r="C509" s="18" t="n"/>
      <c r="D509" s="18" t="n"/>
      <c r="E509" s="1" t="n"/>
      <c r="F509" s="18" t="n"/>
      <c r="G509" s="18" t="n"/>
      <c r="H509" s="18" t="n"/>
      <c r="I509" s="18" t="n"/>
      <c r="J509" s="18" t="n"/>
    </row>
    <row r="510" ht="12.3" customHeight="1" s="75">
      <c r="A510" s="17" t="n"/>
      <c r="B510" s="1" t="n"/>
      <c r="C510" s="18" t="n"/>
      <c r="D510" s="18" t="n"/>
      <c r="E510" s="1" t="n"/>
      <c r="F510" s="18" t="n"/>
      <c r="G510" s="18" t="n"/>
      <c r="H510" s="18" t="n"/>
      <c r="I510" s="18" t="n"/>
      <c r="J510" s="18" t="n"/>
    </row>
    <row r="511" ht="12.3" customHeight="1" s="75">
      <c r="A511" s="17" t="n"/>
      <c r="B511" s="1" t="n"/>
      <c r="C511" s="18" t="n"/>
      <c r="D511" s="18" t="n"/>
      <c r="E511" s="1" t="n"/>
      <c r="F511" s="18" t="n"/>
      <c r="G511" s="18" t="n"/>
      <c r="H511" s="18" t="n"/>
      <c r="I511" s="18" t="n"/>
      <c r="J511" s="18" t="n"/>
    </row>
    <row r="512" ht="12.3" customHeight="1" s="75">
      <c r="A512" s="17" t="n"/>
      <c r="B512" s="1" t="n"/>
      <c r="C512" s="18" t="n"/>
      <c r="D512" s="18" t="n"/>
      <c r="E512" s="1" t="n"/>
      <c r="F512" s="18" t="n"/>
      <c r="G512" s="18" t="n"/>
      <c r="H512" s="18" t="n"/>
      <c r="I512" s="18" t="n"/>
      <c r="J512" s="18" t="n"/>
    </row>
    <row r="513" ht="12.3" customHeight="1" s="75">
      <c r="A513" s="17" t="n"/>
      <c r="B513" s="1" t="n"/>
      <c r="C513" s="18" t="n"/>
      <c r="D513" s="18" t="n"/>
      <c r="E513" s="1" t="n"/>
      <c r="F513" s="18" t="n"/>
      <c r="G513" s="18" t="n"/>
      <c r="H513" s="18" t="n"/>
      <c r="I513" s="18" t="n"/>
      <c r="J513" s="18" t="n"/>
    </row>
    <row r="514" ht="12.3" customHeight="1" s="75">
      <c r="A514" s="17" t="n"/>
      <c r="B514" s="1" t="n"/>
      <c r="C514" s="18" t="n"/>
      <c r="D514" s="18" t="n"/>
      <c r="E514" s="1" t="n"/>
      <c r="F514" s="18" t="n"/>
      <c r="G514" s="18" t="n"/>
      <c r="H514" s="18" t="n"/>
      <c r="I514" s="18" t="n"/>
      <c r="J514" s="18" t="n"/>
    </row>
    <row r="515" ht="12.3" customHeight="1" s="75">
      <c r="A515" s="17" t="n"/>
      <c r="B515" s="1" t="n"/>
      <c r="C515" s="18" t="n"/>
      <c r="D515" s="18" t="n"/>
      <c r="E515" s="1" t="n"/>
      <c r="F515" s="18" t="n"/>
      <c r="G515" s="18" t="n"/>
      <c r="H515" s="18" t="n"/>
      <c r="I515" s="18" t="n"/>
      <c r="J515" s="18" t="n"/>
    </row>
    <row r="516" ht="12.3" customHeight="1" s="75">
      <c r="A516" s="17" t="n"/>
      <c r="B516" s="1" t="n"/>
      <c r="C516" s="18" t="n"/>
      <c r="D516" s="18" t="n"/>
      <c r="E516" s="1" t="n"/>
      <c r="F516" s="18" t="n"/>
      <c r="G516" s="18" t="n"/>
      <c r="H516" s="18" t="n"/>
      <c r="I516" s="18" t="n"/>
      <c r="J516" s="18" t="n"/>
    </row>
    <row r="517" ht="12.3" customHeight="1" s="75">
      <c r="A517" s="17" t="n"/>
      <c r="B517" s="1" t="n"/>
      <c r="C517" s="18" t="n"/>
      <c r="D517" s="18" t="n"/>
      <c r="E517" s="1" t="n"/>
      <c r="F517" s="18" t="n"/>
      <c r="G517" s="18" t="n"/>
      <c r="H517" s="18" t="n"/>
      <c r="I517" s="18" t="n"/>
      <c r="J517" s="18" t="n"/>
    </row>
    <row r="518" ht="12.3" customHeight="1" s="75">
      <c r="A518" s="17" t="n"/>
      <c r="B518" s="1" t="n"/>
      <c r="C518" s="18" t="n"/>
      <c r="D518" s="18" t="n"/>
      <c r="E518" s="1" t="n"/>
      <c r="F518" s="18" t="n"/>
      <c r="G518" s="18" t="n"/>
      <c r="H518" s="18" t="n"/>
      <c r="I518" s="18" t="n"/>
      <c r="J518" s="18" t="n"/>
    </row>
    <row r="519" ht="12.3" customHeight="1" s="75">
      <c r="A519" s="17" t="n"/>
      <c r="B519" s="1" t="n"/>
      <c r="C519" s="18" t="n"/>
      <c r="D519" s="18" t="n"/>
      <c r="E519" s="1" t="n"/>
      <c r="F519" s="18" t="n"/>
      <c r="G519" s="18" t="n"/>
      <c r="H519" s="18" t="n"/>
      <c r="I519" s="18" t="n"/>
      <c r="J519" s="18" t="n"/>
    </row>
    <row r="520" ht="12.3" customHeight="1" s="75">
      <c r="A520" s="17" t="n"/>
      <c r="B520" s="1" t="n"/>
      <c r="C520" s="18" t="n"/>
      <c r="D520" s="18" t="n"/>
      <c r="E520" s="1" t="n"/>
      <c r="F520" s="18" t="n"/>
      <c r="G520" s="18" t="n"/>
      <c r="H520" s="18" t="n"/>
      <c r="I520" s="18" t="n"/>
      <c r="J520" s="18" t="n"/>
    </row>
    <row r="521" ht="12.3" customHeight="1" s="75">
      <c r="A521" s="17" t="n"/>
      <c r="B521" s="1" t="n"/>
      <c r="C521" s="18" t="n"/>
      <c r="D521" s="18" t="n"/>
      <c r="E521" s="1" t="n"/>
      <c r="F521" s="18" t="n"/>
      <c r="G521" s="18" t="n"/>
      <c r="H521" s="18" t="n"/>
      <c r="I521" s="18" t="n"/>
      <c r="J521" s="18" t="n"/>
    </row>
    <row r="522" ht="12.3" customHeight="1" s="75">
      <c r="A522" s="17" t="n"/>
      <c r="B522" s="1" t="n"/>
      <c r="C522" s="18" t="n"/>
      <c r="D522" s="18" t="n"/>
      <c r="E522" s="1" t="n"/>
      <c r="F522" s="18" t="n"/>
      <c r="G522" s="18" t="n"/>
      <c r="H522" s="18" t="n"/>
      <c r="I522" s="18" t="n"/>
      <c r="J522" s="18" t="n"/>
    </row>
    <row r="523" ht="12.3" customHeight="1" s="75">
      <c r="A523" s="17" t="n"/>
      <c r="B523" s="1" t="n"/>
      <c r="C523" s="18" t="n"/>
      <c r="D523" s="18" t="n"/>
      <c r="E523" s="1" t="n"/>
      <c r="F523" s="18" t="n"/>
      <c r="G523" s="18" t="n"/>
      <c r="H523" s="18" t="n"/>
      <c r="I523" s="18" t="n"/>
      <c r="J523" s="18" t="n"/>
    </row>
    <row r="524" ht="12.3" customHeight="1" s="75">
      <c r="A524" s="17" t="n"/>
      <c r="B524" s="1" t="n"/>
      <c r="C524" s="18" t="n"/>
      <c r="D524" s="18" t="n"/>
      <c r="E524" s="1" t="n"/>
      <c r="F524" s="18" t="n"/>
      <c r="G524" s="18" t="n"/>
      <c r="H524" s="18" t="n"/>
      <c r="I524" s="18" t="n"/>
      <c r="J524" s="18" t="n"/>
    </row>
    <row r="525" ht="12.3" customHeight="1" s="75">
      <c r="A525" s="17" t="n"/>
      <c r="B525" s="1" t="n"/>
      <c r="C525" s="18" t="n"/>
      <c r="D525" s="18" t="n"/>
      <c r="E525" s="1" t="n"/>
      <c r="F525" s="18" t="n"/>
      <c r="G525" s="18" t="n"/>
      <c r="H525" s="18" t="n"/>
      <c r="I525" s="18" t="n"/>
      <c r="J525" s="18" t="n"/>
    </row>
    <row r="526" ht="12.3" customHeight="1" s="75">
      <c r="A526" s="17" t="n"/>
      <c r="B526" s="1" t="n"/>
      <c r="C526" s="18" t="n"/>
      <c r="D526" s="18" t="n"/>
      <c r="E526" s="1" t="n"/>
      <c r="F526" s="18" t="n"/>
      <c r="G526" s="18" t="n"/>
      <c r="H526" s="18" t="n"/>
      <c r="I526" s="18" t="n"/>
      <c r="J526" s="18" t="n"/>
    </row>
    <row r="527" ht="12.3" customHeight="1" s="75">
      <c r="A527" s="17" t="n"/>
      <c r="B527" s="1" t="n"/>
      <c r="C527" s="18" t="n"/>
      <c r="D527" s="18" t="n"/>
      <c r="E527" s="1" t="n"/>
      <c r="F527" s="18" t="n"/>
      <c r="G527" s="18" t="n"/>
      <c r="H527" s="18" t="n"/>
      <c r="I527" s="18" t="n"/>
      <c r="J527" s="18" t="n"/>
    </row>
    <row r="528" ht="12.3" customHeight="1" s="75">
      <c r="A528" s="17" t="n"/>
      <c r="B528" s="1" t="n"/>
      <c r="C528" s="18" t="n"/>
      <c r="D528" s="18" t="n"/>
      <c r="E528" s="1" t="n"/>
      <c r="F528" s="18" t="n"/>
      <c r="G528" s="18" t="n"/>
      <c r="H528" s="18" t="n"/>
      <c r="I528" s="18" t="n"/>
      <c r="J528" s="18" t="n"/>
    </row>
    <row r="529" ht="12.3" customHeight="1" s="75">
      <c r="A529" s="17" t="n"/>
      <c r="B529" s="1" t="n"/>
      <c r="C529" s="18" t="n"/>
      <c r="D529" s="18" t="n"/>
      <c r="E529" s="1" t="n"/>
      <c r="F529" s="18" t="n"/>
      <c r="G529" s="18" t="n"/>
      <c r="H529" s="18" t="n"/>
      <c r="I529" s="18" t="n"/>
      <c r="J529" s="18" t="n"/>
    </row>
    <row r="530" ht="12.3" customHeight="1" s="75">
      <c r="A530" s="17" t="n"/>
      <c r="B530" s="1" t="n"/>
      <c r="C530" s="18" t="n"/>
      <c r="D530" s="18" t="n"/>
      <c r="E530" s="1" t="n"/>
      <c r="F530" s="18" t="n"/>
      <c r="G530" s="18" t="n"/>
      <c r="H530" s="18" t="n"/>
      <c r="I530" s="18" t="n"/>
      <c r="J530" s="18" t="n"/>
    </row>
    <row r="531" ht="12.3" customHeight="1" s="75">
      <c r="A531" s="17" t="n"/>
      <c r="B531" s="1" t="n"/>
      <c r="C531" s="18" t="n"/>
      <c r="D531" s="18" t="n"/>
      <c r="E531" s="1" t="n"/>
      <c r="F531" s="18" t="n"/>
      <c r="G531" s="18" t="n"/>
      <c r="H531" s="18" t="n"/>
      <c r="I531" s="18" t="n"/>
      <c r="J531" s="18" t="n"/>
    </row>
    <row r="532" ht="12.3" customHeight="1" s="75">
      <c r="A532" s="17" t="n"/>
      <c r="B532" s="1" t="n"/>
      <c r="C532" s="18" t="n"/>
      <c r="D532" s="18" t="n"/>
      <c r="E532" s="1" t="n"/>
      <c r="F532" s="18" t="n"/>
      <c r="G532" s="18" t="n"/>
      <c r="H532" s="18" t="n"/>
      <c r="I532" s="18" t="n"/>
      <c r="J532" s="18" t="n"/>
    </row>
    <row r="533" ht="12.3" customHeight="1" s="75">
      <c r="A533" s="17" t="n"/>
      <c r="B533" s="1" t="n"/>
      <c r="C533" s="18" t="n"/>
      <c r="D533" s="18" t="n"/>
      <c r="E533" s="1" t="n"/>
      <c r="F533" s="18" t="n"/>
      <c r="G533" s="18" t="n"/>
      <c r="H533" s="18" t="n"/>
      <c r="I533" s="18" t="n"/>
      <c r="J533" s="18" t="n"/>
    </row>
    <row r="534" ht="12.3" customHeight="1" s="75">
      <c r="A534" s="17" t="n"/>
      <c r="B534" s="1" t="n"/>
      <c r="C534" s="18" t="n"/>
      <c r="D534" s="18" t="n"/>
      <c r="E534" s="1" t="n"/>
      <c r="F534" s="18" t="n"/>
      <c r="G534" s="18" t="n"/>
      <c r="H534" s="18" t="n"/>
      <c r="I534" s="18" t="n"/>
      <c r="J534" s="18" t="n"/>
    </row>
    <row r="535" ht="12.3" customHeight="1" s="75">
      <c r="A535" s="17" t="n"/>
      <c r="B535" s="1" t="n"/>
      <c r="C535" s="18" t="n"/>
      <c r="D535" s="18" t="n"/>
      <c r="E535" s="1" t="n"/>
      <c r="F535" s="18" t="n"/>
      <c r="G535" s="18" t="n"/>
      <c r="H535" s="18" t="n"/>
      <c r="I535" s="18" t="n"/>
      <c r="J535" s="18" t="n"/>
    </row>
    <row r="536" ht="12.3" customHeight="1" s="75">
      <c r="A536" s="17" t="n"/>
      <c r="B536" s="1" t="n"/>
      <c r="C536" s="18" t="n"/>
      <c r="D536" s="18" t="n"/>
      <c r="E536" s="1" t="n"/>
      <c r="F536" s="18" t="n"/>
      <c r="G536" s="18" t="n"/>
      <c r="H536" s="18" t="n"/>
      <c r="I536" s="18" t="n"/>
      <c r="J536" s="18" t="n"/>
    </row>
    <row r="537" ht="12.3" customHeight="1" s="75">
      <c r="A537" s="17" t="n"/>
      <c r="B537" s="1" t="n"/>
      <c r="C537" s="18" t="n"/>
      <c r="D537" s="18" t="n"/>
      <c r="E537" s="1" t="n"/>
      <c r="F537" s="18" t="n"/>
      <c r="G537" s="18" t="n"/>
      <c r="H537" s="18" t="n"/>
      <c r="I537" s="18" t="n"/>
      <c r="J537" s="18" t="n"/>
    </row>
    <row r="538" ht="12.3" customHeight="1" s="75">
      <c r="A538" s="17" t="n"/>
      <c r="B538" s="1" t="n"/>
      <c r="C538" s="18" t="n"/>
      <c r="D538" s="18" t="n"/>
      <c r="E538" s="1" t="n"/>
      <c r="F538" s="18" t="n"/>
      <c r="G538" s="18" t="n"/>
      <c r="H538" s="18" t="n"/>
      <c r="I538" s="18" t="n"/>
      <c r="J538" s="18" t="n"/>
    </row>
    <row r="539" ht="12.3" customHeight="1" s="75">
      <c r="A539" s="17" t="n"/>
      <c r="B539" s="1" t="n"/>
      <c r="C539" s="18" t="n"/>
      <c r="D539" s="18" t="n"/>
      <c r="E539" s="1" t="n"/>
      <c r="F539" s="18" t="n"/>
      <c r="G539" s="18" t="n"/>
      <c r="H539" s="18" t="n"/>
      <c r="I539" s="18" t="n"/>
      <c r="J539" s="18" t="n"/>
    </row>
    <row r="540" ht="12.3" customHeight="1" s="75">
      <c r="A540" s="17" t="n"/>
      <c r="B540" s="1" t="n"/>
      <c r="C540" s="18" t="n"/>
      <c r="D540" s="18" t="n"/>
      <c r="E540" s="1" t="n"/>
      <c r="F540" s="18" t="n"/>
      <c r="G540" s="18" t="n"/>
      <c r="H540" s="18" t="n"/>
      <c r="I540" s="18" t="n"/>
      <c r="J540" s="18" t="n"/>
    </row>
    <row r="541" ht="12.3" customHeight="1" s="75">
      <c r="A541" s="17" t="n"/>
      <c r="B541" s="1" t="n"/>
      <c r="C541" s="18" t="n"/>
      <c r="D541" s="18" t="n"/>
      <c r="E541" s="1" t="n"/>
      <c r="F541" s="18" t="n"/>
      <c r="G541" s="18" t="n"/>
      <c r="H541" s="18" t="n"/>
      <c r="I541" s="18" t="n"/>
      <c r="J541" s="18" t="n"/>
    </row>
    <row r="542" ht="12.3" customHeight="1" s="75">
      <c r="A542" s="17" t="n"/>
      <c r="B542" s="1" t="n"/>
      <c r="C542" s="18" t="n"/>
      <c r="D542" s="18" t="n"/>
      <c r="E542" s="1" t="n"/>
      <c r="F542" s="18" t="n"/>
      <c r="G542" s="18" t="n"/>
      <c r="H542" s="18" t="n"/>
      <c r="I542" s="18" t="n"/>
      <c r="J542" s="18" t="n"/>
    </row>
    <row r="543" ht="12.3" customHeight="1" s="75">
      <c r="A543" s="17" t="n"/>
      <c r="B543" s="1" t="n"/>
      <c r="C543" s="18" t="n"/>
      <c r="D543" s="18" t="n"/>
      <c r="E543" s="1" t="n"/>
      <c r="F543" s="18" t="n"/>
      <c r="G543" s="18" t="n"/>
      <c r="H543" s="18" t="n"/>
      <c r="I543" s="18" t="n"/>
      <c r="J543" s="18" t="n"/>
    </row>
    <row r="544" ht="12.3" customHeight="1" s="75">
      <c r="A544" s="17" t="n"/>
      <c r="B544" s="1" t="n"/>
      <c r="C544" s="18" t="n"/>
      <c r="D544" s="18" t="n"/>
      <c r="E544" s="1" t="n"/>
      <c r="F544" s="18" t="n"/>
      <c r="G544" s="18" t="n"/>
      <c r="H544" s="18" t="n"/>
      <c r="I544" s="18" t="n"/>
      <c r="J544" s="18" t="n"/>
    </row>
    <row r="545" ht="12.3" customHeight="1" s="75">
      <c r="A545" s="17" t="n"/>
      <c r="B545" s="1" t="n"/>
      <c r="C545" s="18" t="n"/>
      <c r="D545" s="18" t="n"/>
      <c r="E545" s="1" t="n"/>
      <c r="F545" s="18" t="n"/>
      <c r="G545" s="18" t="n"/>
      <c r="H545" s="18" t="n"/>
      <c r="I545" s="18" t="n"/>
      <c r="J545" s="18" t="n"/>
    </row>
    <row r="546" ht="12.3" customHeight="1" s="75">
      <c r="A546" s="17" t="n"/>
      <c r="B546" s="1" t="n"/>
      <c r="C546" s="18" t="n"/>
      <c r="D546" s="18" t="n"/>
      <c r="E546" s="1" t="n"/>
      <c r="F546" s="18" t="n"/>
      <c r="G546" s="18" t="n"/>
      <c r="H546" s="18" t="n"/>
      <c r="I546" s="18" t="n"/>
      <c r="J546" s="18" t="n"/>
    </row>
    <row r="547" ht="12.3" customHeight="1" s="75">
      <c r="A547" s="17" t="n"/>
      <c r="B547" s="1" t="n"/>
      <c r="C547" s="18" t="n"/>
      <c r="D547" s="18" t="n"/>
      <c r="E547" s="1" t="n"/>
      <c r="F547" s="18" t="n"/>
      <c r="G547" s="18" t="n"/>
      <c r="H547" s="18" t="n"/>
      <c r="I547" s="18" t="n"/>
      <c r="J547" s="18" t="n"/>
    </row>
    <row r="548" ht="12.3" customHeight="1" s="75">
      <c r="A548" s="17" t="n"/>
      <c r="B548" s="1" t="n"/>
      <c r="C548" s="18" t="n"/>
      <c r="D548" s="18" t="n"/>
      <c r="E548" s="1" t="n"/>
      <c r="F548" s="18" t="n"/>
      <c r="G548" s="18" t="n"/>
      <c r="H548" s="18" t="n"/>
      <c r="I548" s="18" t="n"/>
      <c r="J548" s="18" t="n"/>
    </row>
    <row r="549" ht="12.3" customHeight="1" s="75">
      <c r="A549" s="17" t="n"/>
      <c r="B549" s="1" t="n"/>
      <c r="C549" s="18" t="n"/>
      <c r="D549" s="18" t="n"/>
      <c r="E549" s="1" t="n"/>
      <c r="F549" s="18" t="n"/>
      <c r="G549" s="18" t="n"/>
      <c r="H549" s="18" t="n"/>
      <c r="I549" s="18" t="n"/>
      <c r="J549" s="18" t="n"/>
    </row>
    <row r="550" ht="12.3" customHeight="1" s="75">
      <c r="A550" s="17" t="n"/>
      <c r="B550" s="1" t="n"/>
      <c r="C550" s="18" t="n"/>
      <c r="D550" s="18" t="n"/>
      <c r="E550" s="1" t="n"/>
      <c r="F550" s="18" t="n"/>
      <c r="G550" s="18" t="n"/>
      <c r="H550" s="18" t="n"/>
      <c r="I550" s="18" t="n"/>
      <c r="J550" s="18" t="n"/>
    </row>
    <row r="551" ht="12.3" customHeight="1" s="75">
      <c r="A551" s="17" t="n"/>
      <c r="B551" s="1" t="n"/>
      <c r="C551" s="18" t="n"/>
      <c r="D551" s="18" t="n"/>
      <c r="E551" s="1" t="n"/>
      <c r="F551" s="18" t="n"/>
      <c r="G551" s="18" t="n"/>
      <c r="H551" s="18" t="n"/>
      <c r="I551" s="18" t="n"/>
      <c r="J551" s="18" t="n"/>
    </row>
    <row r="552" ht="12.3" customHeight="1" s="75">
      <c r="A552" s="17" t="n"/>
      <c r="B552" s="1" t="n"/>
      <c r="C552" s="18" t="n"/>
      <c r="D552" s="18" t="n"/>
      <c r="E552" s="1" t="n"/>
      <c r="F552" s="18" t="n"/>
      <c r="G552" s="18" t="n"/>
      <c r="H552" s="18" t="n"/>
      <c r="I552" s="18" t="n"/>
      <c r="J552" s="18" t="n"/>
    </row>
    <row r="553" ht="12.3" customHeight="1" s="75">
      <c r="A553" s="17" t="n"/>
      <c r="B553" s="1" t="n"/>
      <c r="C553" s="18" t="n"/>
      <c r="D553" s="18" t="n"/>
      <c r="E553" s="1" t="n"/>
      <c r="F553" s="18" t="n"/>
      <c r="G553" s="18" t="n"/>
      <c r="H553" s="18" t="n"/>
      <c r="I553" s="18" t="n"/>
      <c r="J553" s="18" t="n"/>
    </row>
    <row r="554" ht="12.3" customHeight="1" s="75">
      <c r="A554" s="17" t="n"/>
      <c r="B554" s="1" t="n"/>
      <c r="C554" s="18" t="n"/>
      <c r="D554" s="18" t="n"/>
      <c r="E554" s="1" t="n"/>
      <c r="F554" s="18" t="n"/>
      <c r="G554" s="18" t="n"/>
      <c r="H554" s="18" t="n"/>
      <c r="I554" s="18" t="n"/>
      <c r="J554" s="18" t="n"/>
    </row>
    <row r="555" ht="12.3" customHeight="1" s="75">
      <c r="A555" s="17" t="n"/>
      <c r="B555" s="1" t="n"/>
      <c r="C555" s="18" t="n"/>
      <c r="D555" s="18" t="n"/>
      <c r="E555" s="1" t="n"/>
      <c r="F555" s="18" t="n"/>
      <c r="G555" s="18" t="n"/>
      <c r="H555" s="18" t="n"/>
      <c r="I555" s="18" t="n"/>
      <c r="J555" s="18" t="n"/>
    </row>
    <row r="556" ht="12.3" customHeight="1" s="75">
      <c r="A556" s="17" t="n"/>
      <c r="B556" s="1" t="n"/>
      <c r="C556" s="18" t="n"/>
      <c r="D556" s="18" t="n"/>
      <c r="E556" s="1" t="n"/>
      <c r="F556" s="18" t="n"/>
      <c r="G556" s="18" t="n"/>
      <c r="H556" s="18" t="n"/>
      <c r="I556" s="18" t="n"/>
      <c r="J556" s="18" t="n"/>
    </row>
    <row r="557" ht="12.3" customHeight="1" s="75">
      <c r="A557" s="17" t="n"/>
      <c r="B557" s="1" t="n"/>
      <c r="C557" s="18" t="n"/>
      <c r="D557" s="18" t="n"/>
      <c r="E557" s="1" t="n"/>
      <c r="F557" s="18" t="n"/>
      <c r="G557" s="18" t="n"/>
      <c r="H557" s="18" t="n"/>
      <c r="I557" s="18" t="n"/>
      <c r="J557" s="18" t="n"/>
    </row>
    <row r="558" ht="12.3" customHeight="1" s="75">
      <c r="A558" s="17" t="n"/>
      <c r="B558" s="1" t="n"/>
      <c r="C558" s="18" t="n"/>
      <c r="D558" s="18" t="n"/>
      <c r="E558" s="1" t="n"/>
      <c r="F558" s="18" t="n"/>
      <c r="G558" s="18" t="n"/>
      <c r="H558" s="18" t="n"/>
      <c r="I558" s="18" t="n"/>
      <c r="J558" s="18" t="n"/>
    </row>
    <row r="559" ht="12.3" customHeight="1" s="75">
      <c r="A559" s="17" t="n"/>
      <c r="B559" s="1" t="n"/>
      <c r="C559" s="18" t="n"/>
      <c r="D559" s="18" t="n"/>
      <c r="E559" s="1" t="n"/>
      <c r="F559" s="18" t="n"/>
      <c r="G559" s="18" t="n"/>
      <c r="H559" s="18" t="n"/>
      <c r="I559" s="18" t="n"/>
      <c r="J559" s="18" t="n"/>
    </row>
    <row r="560" ht="12.3" customHeight="1" s="75">
      <c r="A560" s="17" t="n"/>
      <c r="B560" s="1" t="n"/>
      <c r="C560" s="18" t="n"/>
      <c r="D560" s="18" t="n"/>
      <c r="E560" s="1" t="n"/>
      <c r="F560" s="18" t="n"/>
      <c r="G560" s="18" t="n"/>
      <c r="H560" s="18" t="n"/>
      <c r="I560" s="18" t="n"/>
      <c r="J560" s="18" t="n"/>
    </row>
    <row r="561" ht="12.3" customHeight="1" s="75">
      <c r="A561" s="17" t="n"/>
      <c r="B561" s="1" t="n"/>
      <c r="C561" s="18" t="n"/>
      <c r="D561" s="18" t="n"/>
      <c r="E561" s="1" t="n"/>
      <c r="F561" s="18" t="n"/>
      <c r="G561" s="18" t="n"/>
      <c r="H561" s="18" t="n"/>
      <c r="I561" s="18" t="n"/>
      <c r="J561" s="18" t="n"/>
    </row>
    <row r="562" ht="12.3" customHeight="1" s="75">
      <c r="A562" s="17" t="n"/>
      <c r="B562" s="1" t="n"/>
      <c r="C562" s="18" t="n"/>
      <c r="D562" s="18" t="n"/>
      <c r="E562" s="1" t="n"/>
      <c r="F562" s="18" t="n"/>
      <c r="G562" s="18" t="n"/>
      <c r="H562" s="18" t="n"/>
      <c r="I562" s="18" t="n"/>
      <c r="J562" s="18" t="n"/>
    </row>
    <row r="563" ht="12.3" customHeight="1" s="75">
      <c r="A563" s="17" t="n"/>
      <c r="B563" s="1" t="n"/>
      <c r="C563" s="18" t="n"/>
      <c r="D563" s="18" t="n"/>
      <c r="E563" s="1" t="n"/>
      <c r="F563" s="18" t="n"/>
      <c r="G563" s="18" t="n"/>
      <c r="H563" s="18" t="n"/>
      <c r="I563" s="18" t="n"/>
      <c r="J563" s="18" t="n"/>
    </row>
    <row r="564" ht="12.3" customHeight="1" s="75">
      <c r="A564" s="17" t="n"/>
      <c r="B564" s="1" t="n"/>
      <c r="C564" s="18" t="n"/>
      <c r="D564" s="18" t="n"/>
      <c r="E564" s="1" t="n"/>
      <c r="F564" s="18" t="n"/>
      <c r="G564" s="18" t="n"/>
      <c r="H564" s="18" t="n"/>
      <c r="I564" s="18" t="n"/>
      <c r="J564" s="18" t="n"/>
    </row>
    <row r="565" ht="12.3" customHeight="1" s="75">
      <c r="A565" s="17" t="n"/>
      <c r="B565" s="1" t="n"/>
      <c r="C565" s="18" t="n"/>
      <c r="D565" s="18" t="n"/>
      <c r="E565" s="1" t="n"/>
      <c r="F565" s="18" t="n"/>
      <c r="G565" s="18" t="n"/>
      <c r="H565" s="18" t="n"/>
      <c r="I565" s="18" t="n"/>
      <c r="J565" s="18" t="n"/>
    </row>
    <row r="566" ht="12.3" customHeight="1" s="75">
      <c r="A566" s="17" t="n"/>
      <c r="B566" s="1" t="n"/>
      <c r="C566" s="18" t="n"/>
      <c r="D566" s="18" t="n"/>
      <c r="E566" s="1" t="n"/>
      <c r="F566" s="18" t="n"/>
      <c r="G566" s="18" t="n"/>
      <c r="H566" s="18" t="n"/>
      <c r="I566" s="18" t="n"/>
      <c r="J566" s="18" t="n"/>
    </row>
    <row r="567" ht="12.3" customHeight="1" s="75">
      <c r="A567" s="17" t="n"/>
      <c r="B567" s="1" t="n"/>
      <c r="C567" s="18" t="n"/>
      <c r="D567" s="18" t="n"/>
      <c r="E567" s="1" t="n"/>
      <c r="F567" s="18" t="n"/>
      <c r="G567" s="18" t="n"/>
      <c r="H567" s="18" t="n"/>
      <c r="I567" s="18" t="n"/>
      <c r="J567" s="18" t="n"/>
    </row>
    <row r="568" ht="12.3" customHeight="1" s="75">
      <c r="A568" s="17" t="n"/>
      <c r="B568" s="1" t="n"/>
      <c r="C568" s="18" t="n"/>
      <c r="D568" s="18" t="n"/>
      <c r="E568" s="1" t="n"/>
      <c r="F568" s="18" t="n"/>
      <c r="G568" s="18" t="n"/>
      <c r="H568" s="18" t="n"/>
      <c r="I568" s="18" t="n"/>
      <c r="J568" s="18" t="n"/>
    </row>
    <row r="569" ht="12.3" customHeight="1" s="75">
      <c r="A569" s="17" t="n"/>
      <c r="B569" s="1" t="n"/>
      <c r="C569" s="18" t="n"/>
      <c r="D569" s="18" t="n"/>
      <c r="E569" s="1" t="n"/>
      <c r="F569" s="18" t="n"/>
      <c r="G569" s="18" t="n"/>
      <c r="H569" s="18" t="n"/>
      <c r="I569" s="18" t="n"/>
      <c r="J569" s="18" t="n"/>
    </row>
    <row r="570" ht="12.3" customHeight="1" s="75">
      <c r="A570" s="17" t="n"/>
      <c r="B570" s="1" t="n"/>
      <c r="C570" s="18" t="n"/>
      <c r="D570" s="18" t="n"/>
      <c r="E570" s="1" t="n"/>
      <c r="F570" s="18" t="n"/>
      <c r="G570" s="18" t="n"/>
      <c r="H570" s="18" t="n"/>
      <c r="I570" s="18" t="n"/>
      <c r="J570" s="18" t="n"/>
    </row>
    <row r="571" ht="12.3" customHeight="1" s="75">
      <c r="A571" s="17" t="n"/>
      <c r="B571" s="1" t="n"/>
      <c r="C571" s="18" t="n"/>
      <c r="D571" s="18" t="n"/>
      <c r="E571" s="1" t="n"/>
      <c r="F571" s="18" t="n"/>
      <c r="G571" s="18" t="n"/>
      <c r="H571" s="18" t="n"/>
      <c r="I571" s="18" t="n"/>
      <c r="J571" s="18" t="n"/>
    </row>
    <row r="572" ht="12.3" customHeight="1" s="75">
      <c r="A572" s="17" t="n"/>
      <c r="B572" s="1" t="n"/>
      <c r="C572" s="18" t="n"/>
      <c r="D572" s="18" t="n"/>
      <c r="E572" s="1" t="n"/>
      <c r="F572" s="18" t="n"/>
      <c r="G572" s="18" t="n"/>
      <c r="H572" s="18" t="n"/>
      <c r="I572" s="18" t="n"/>
      <c r="J572" s="18" t="n"/>
    </row>
    <row r="573" ht="12.3" customHeight="1" s="75">
      <c r="A573" s="17" t="n"/>
      <c r="B573" s="1" t="n"/>
      <c r="C573" s="18" t="n"/>
      <c r="D573" s="18" t="n"/>
      <c r="E573" s="1" t="n"/>
      <c r="F573" s="18" t="n"/>
      <c r="G573" s="18" t="n"/>
      <c r="H573" s="18" t="n"/>
      <c r="I573" s="18" t="n"/>
      <c r="J573" s="18" t="n"/>
    </row>
    <row r="574" ht="12.3" customHeight="1" s="75">
      <c r="A574" s="17" t="n"/>
      <c r="B574" s="1" t="n"/>
      <c r="C574" s="18" t="n"/>
      <c r="D574" s="18" t="n"/>
      <c r="E574" s="1" t="n"/>
      <c r="F574" s="18" t="n"/>
      <c r="G574" s="18" t="n"/>
      <c r="H574" s="18" t="n"/>
      <c r="I574" s="18" t="n"/>
      <c r="J574" s="18" t="n"/>
    </row>
    <row r="575" ht="12.3" customHeight="1" s="75">
      <c r="A575" s="17" t="n"/>
      <c r="B575" s="1" t="n"/>
      <c r="C575" s="18" t="n"/>
      <c r="D575" s="18" t="n"/>
      <c r="E575" s="1" t="n"/>
      <c r="F575" s="18" t="n"/>
      <c r="G575" s="18" t="n"/>
      <c r="H575" s="18" t="n"/>
      <c r="I575" s="18" t="n"/>
      <c r="J575" s="18" t="n"/>
    </row>
    <row r="576" ht="12.3" customHeight="1" s="75">
      <c r="A576" s="17" t="n"/>
      <c r="B576" s="1" t="n"/>
      <c r="C576" s="18" t="n"/>
      <c r="D576" s="18" t="n"/>
      <c r="E576" s="1" t="n"/>
      <c r="F576" s="18" t="n"/>
      <c r="G576" s="18" t="n"/>
      <c r="H576" s="18" t="n"/>
      <c r="I576" s="18" t="n"/>
      <c r="J576" s="18" t="n"/>
    </row>
    <row r="577" ht="12.3" customHeight="1" s="75">
      <c r="A577" s="17" t="n"/>
      <c r="B577" s="1" t="n"/>
      <c r="C577" s="18" t="n"/>
      <c r="D577" s="18" t="n"/>
      <c r="E577" s="1" t="n"/>
      <c r="F577" s="18" t="n"/>
      <c r="G577" s="18" t="n"/>
      <c r="H577" s="18" t="n"/>
      <c r="I577" s="18" t="n"/>
      <c r="J577" s="18" t="n"/>
    </row>
    <row r="578" ht="12.3" customHeight="1" s="75">
      <c r="A578" s="17" t="n"/>
      <c r="B578" s="1" t="n"/>
      <c r="C578" s="18" t="n"/>
      <c r="D578" s="18" t="n"/>
      <c r="E578" s="1" t="n"/>
      <c r="F578" s="18" t="n"/>
      <c r="G578" s="18" t="n"/>
      <c r="H578" s="18" t="n"/>
      <c r="I578" s="18" t="n"/>
      <c r="J578" s="18" t="n"/>
    </row>
    <row r="579" ht="12.3" customHeight="1" s="75">
      <c r="A579" s="17" t="n"/>
      <c r="B579" s="1" t="n"/>
      <c r="C579" s="18" t="n"/>
      <c r="D579" s="18" t="n"/>
      <c r="E579" s="1" t="n"/>
      <c r="F579" s="18" t="n"/>
      <c r="G579" s="18" t="n"/>
      <c r="H579" s="18" t="n"/>
      <c r="I579" s="18" t="n"/>
      <c r="J579" s="18" t="n"/>
    </row>
    <row r="580" ht="12.3" customHeight="1" s="75">
      <c r="A580" s="17" t="n"/>
      <c r="B580" s="1" t="n"/>
      <c r="C580" s="18" t="n"/>
      <c r="D580" s="18" t="n"/>
      <c r="E580" s="1" t="n"/>
      <c r="F580" s="18" t="n"/>
      <c r="G580" s="18" t="n"/>
      <c r="H580" s="18" t="n"/>
      <c r="I580" s="18" t="n"/>
      <c r="J580" s="18" t="n"/>
    </row>
    <row r="581" ht="12.3" customHeight="1" s="75">
      <c r="A581" s="17" t="n"/>
      <c r="B581" s="1" t="n"/>
      <c r="C581" s="18" t="n"/>
      <c r="D581" s="18" t="n"/>
      <c r="E581" s="1" t="n"/>
      <c r="F581" s="18" t="n"/>
      <c r="G581" s="18" t="n"/>
      <c r="H581" s="18" t="n"/>
      <c r="I581" s="18" t="n"/>
      <c r="J581" s="18" t="n"/>
    </row>
    <row r="582" ht="12.3" customHeight="1" s="75">
      <c r="A582" s="17" t="n"/>
      <c r="B582" s="1" t="n"/>
      <c r="C582" s="18" t="n"/>
      <c r="D582" s="18" t="n"/>
      <c r="E582" s="1" t="n"/>
      <c r="F582" s="18" t="n"/>
      <c r="G582" s="18" t="n"/>
      <c r="H582" s="18" t="n"/>
      <c r="I582" s="18" t="n"/>
      <c r="J582" s="18" t="n"/>
    </row>
    <row r="583" ht="12.3" customHeight="1" s="75">
      <c r="A583" s="17" t="n"/>
      <c r="B583" s="1" t="n"/>
      <c r="C583" s="18" t="n"/>
      <c r="D583" s="18" t="n"/>
      <c r="E583" s="1" t="n"/>
      <c r="F583" s="18" t="n"/>
      <c r="G583" s="18" t="n"/>
      <c r="H583" s="18" t="n"/>
      <c r="I583" s="18" t="n"/>
      <c r="J583" s="18" t="n"/>
    </row>
    <row r="584" ht="12.3" customHeight="1" s="75">
      <c r="A584" s="17" t="n"/>
      <c r="B584" s="1" t="n"/>
      <c r="C584" s="18" t="n"/>
      <c r="D584" s="18" t="n"/>
      <c r="E584" s="1" t="n"/>
      <c r="F584" s="18" t="n"/>
      <c r="G584" s="18" t="n"/>
      <c r="H584" s="18" t="n"/>
      <c r="I584" s="18" t="n"/>
      <c r="J584" s="18" t="n"/>
    </row>
    <row r="585" ht="12.3" customHeight="1" s="75">
      <c r="A585" s="17" t="n"/>
      <c r="B585" s="1" t="n"/>
      <c r="C585" s="18" t="n"/>
      <c r="D585" s="18" t="n"/>
      <c r="E585" s="1" t="n"/>
      <c r="F585" s="18" t="n"/>
      <c r="G585" s="18" t="n"/>
      <c r="H585" s="18" t="n"/>
      <c r="I585" s="18" t="n"/>
      <c r="J585" s="18" t="n"/>
    </row>
    <row r="586" ht="12.3" customHeight="1" s="75">
      <c r="A586" s="17" t="n"/>
      <c r="B586" s="1" t="n"/>
      <c r="C586" s="18" t="n"/>
      <c r="D586" s="18" t="n"/>
      <c r="E586" s="1" t="n"/>
      <c r="F586" s="18" t="n"/>
      <c r="G586" s="18" t="n"/>
      <c r="H586" s="18" t="n"/>
      <c r="I586" s="18" t="n"/>
      <c r="J586" s="18" t="n"/>
    </row>
    <row r="587" ht="12.3" customHeight="1" s="75">
      <c r="A587" s="17" t="n"/>
      <c r="B587" s="1" t="n"/>
      <c r="C587" s="18" t="n"/>
      <c r="D587" s="18" t="n"/>
      <c r="E587" s="1" t="n"/>
      <c r="F587" s="18" t="n"/>
      <c r="G587" s="18" t="n"/>
      <c r="H587" s="18" t="n"/>
      <c r="I587" s="18" t="n"/>
      <c r="J587" s="18" t="n"/>
    </row>
    <row r="588" ht="12.3" customHeight="1" s="75">
      <c r="A588" s="17" t="n"/>
      <c r="B588" s="1" t="n"/>
      <c r="C588" s="18" t="n"/>
      <c r="D588" s="18" t="n"/>
      <c r="E588" s="1" t="n"/>
      <c r="F588" s="18" t="n"/>
      <c r="G588" s="18" t="n"/>
      <c r="H588" s="18" t="n"/>
      <c r="I588" s="18" t="n"/>
      <c r="J588" s="18" t="n"/>
    </row>
    <row r="589" ht="12.3" customHeight="1" s="75">
      <c r="A589" s="17" t="n"/>
      <c r="B589" s="1" t="n"/>
      <c r="C589" s="18" t="n"/>
      <c r="D589" s="18" t="n"/>
      <c r="E589" s="1" t="n"/>
      <c r="F589" s="18" t="n"/>
      <c r="G589" s="18" t="n"/>
      <c r="H589" s="18" t="n"/>
      <c r="I589" s="18" t="n"/>
      <c r="J589" s="18" t="n"/>
    </row>
    <row r="590" ht="12.3" customHeight="1" s="75">
      <c r="A590" s="17" t="n"/>
      <c r="B590" s="1" t="n"/>
      <c r="C590" s="18" t="n"/>
      <c r="D590" s="18" t="n"/>
      <c r="E590" s="1" t="n"/>
      <c r="F590" s="18" t="n"/>
      <c r="G590" s="18" t="n"/>
      <c r="H590" s="18" t="n"/>
      <c r="I590" s="18" t="n"/>
      <c r="J590" s="18" t="n"/>
    </row>
    <row r="591" ht="12.3" customHeight="1" s="75">
      <c r="A591" s="17" t="n"/>
      <c r="B591" s="1" t="n"/>
      <c r="C591" s="18" t="n"/>
      <c r="D591" s="18" t="n"/>
      <c r="E591" s="1" t="n"/>
      <c r="F591" s="18" t="n"/>
      <c r="G591" s="18" t="n"/>
      <c r="H591" s="18" t="n"/>
      <c r="I591" s="18" t="n"/>
      <c r="J591" s="18" t="n"/>
    </row>
    <row r="592" ht="12.3" customHeight="1" s="75">
      <c r="A592" s="17" t="n"/>
      <c r="B592" s="1" t="n"/>
      <c r="C592" s="18" t="n"/>
      <c r="D592" s="18" t="n"/>
      <c r="E592" s="1" t="n"/>
      <c r="F592" s="18" t="n"/>
      <c r="G592" s="18" t="n"/>
      <c r="H592" s="18" t="n"/>
      <c r="I592" s="18" t="n"/>
      <c r="J592" s="18" t="n"/>
    </row>
    <row r="593" ht="12.3" customHeight="1" s="75">
      <c r="A593" s="17" t="n"/>
      <c r="B593" s="1" t="n"/>
      <c r="C593" s="18" t="n"/>
      <c r="D593" s="18" t="n"/>
      <c r="E593" s="1" t="n"/>
      <c r="F593" s="18" t="n"/>
      <c r="G593" s="18" t="n"/>
      <c r="H593" s="18" t="n"/>
      <c r="I593" s="18" t="n"/>
      <c r="J593" s="18" t="n"/>
    </row>
    <row r="594" ht="12.3" customHeight="1" s="75">
      <c r="A594" s="17" t="n"/>
      <c r="B594" s="1" t="n"/>
      <c r="C594" s="18" t="n"/>
      <c r="D594" s="18" t="n"/>
      <c r="E594" s="1" t="n"/>
      <c r="F594" s="18" t="n"/>
      <c r="G594" s="18" t="n"/>
      <c r="H594" s="18" t="n"/>
      <c r="I594" s="18" t="n"/>
      <c r="J594" s="18" t="n"/>
    </row>
    <row r="595" ht="12.3" customHeight="1" s="75">
      <c r="A595" s="17" t="n"/>
      <c r="B595" s="1" t="n"/>
      <c r="C595" s="18" t="n"/>
      <c r="D595" s="18" t="n"/>
      <c r="E595" s="1" t="n"/>
      <c r="F595" s="18" t="n"/>
      <c r="G595" s="18" t="n"/>
      <c r="H595" s="18" t="n"/>
      <c r="I595" s="18" t="n"/>
      <c r="J595" s="18" t="n"/>
    </row>
    <row r="596" ht="12.3" customHeight="1" s="75">
      <c r="A596" s="17" t="n"/>
      <c r="B596" s="1" t="n"/>
      <c r="C596" s="18" t="n"/>
      <c r="D596" s="18" t="n"/>
      <c r="E596" s="1" t="n"/>
      <c r="F596" s="18" t="n"/>
      <c r="G596" s="18" t="n"/>
      <c r="H596" s="18" t="n"/>
      <c r="I596" s="18" t="n"/>
      <c r="J596" s="18" t="n"/>
    </row>
    <row r="597" ht="12.3" customHeight="1" s="75">
      <c r="A597" s="17" t="n"/>
      <c r="B597" s="1" t="n"/>
      <c r="C597" s="18" t="n"/>
      <c r="D597" s="18" t="n"/>
      <c r="E597" s="1" t="n"/>
      <c r="F597" s="18" t="n"/>
      <c r="G597" s="18" t="n"/>
      <c r="H597" s="18" t="n"/>
      <c r="I597" s="18" t="n"/>
      <c r="J597" s="18" t="n"/>
    </row>
    <row r="598" ht="12.3" customHeight="1" s="75">
      <c r="A598" s="17" t="n"/>
      <c r="B598" s="1" t="n"/>
      <c r="C598" s="18" t="n"/>
      <c r="D598" s="18" t="n"/>
      <c r="E598" s="1" t="n"/>
      <c r="F598" s="18" t="n"/>
      <c r="G598" s="18" t="n"/>
      <c r="H598" s="18" t="n"/>
      <c r="I598" s="18" t="n"/>
      <c r="J598" s="18" t="n"/>
    </row>
    <row r="599" ht="12.3" customHeight="1" s="75">
      <c r="A599" s="17" t="n"/>
      <c r="B599" s="1" t="n"/>
      <c r="C599" s="18" t="n"/>
      <c r="D599" s="18" t="n"/>
      <c r="E599" s="1" t="n"/>
      <c r="F599" s="18" t="n"/>
      <c r="G599" s="18" t="n"/>
      <c r="H599" s="18" t="n"/>
      <c r="I599" s="18" t="n"/>
      <c r="J599" s="18" t="n"/>
    </row>
    <row r="600" ht="12.3" customHeight="1" s="75">
      <c r="A600" s="17" t="n"/>
      <c r="B600" s="1" t="n"/>
      <c r="C600" s="18" t="n"/>
      <c r="D600" s="18" t="n"/>
      <c r="E600" s="1" t="n"/>
      <c r="F600" s="18" t="n"/>
      <c r="G600" s="18" t="n"/>
      <c r="H600" s="18" t="n"/>
      <c r="I600" s="18" t="n"/>
      <c r="J600" s="18" t="n"/>
    </row>
    <row r="601" ht="12.3" customHeight="1" s="75">
      <c r="A601" s="17" t="n"/>
      <c r="B601" s="1" t="n"/>
      <c r="C601" s="18" t="n"/>
      <c r="D601" s="18" t="n"/>
      <c r="E601" s="1" t="n"/>
      <c r="F601" s="18" t="n"/>
      <c r="G601" s="18" t="n"/>
      <c r="H601" s="18" t="n"/>
      <c r="I601" s="18" t="n"/>
      <c r="J601" s="18" t="n"/>
    </row>
    <row r="602" ht="12.3" customHeight="1" s="75">
      <c r="A602" s="17" t="n"/>
      <c r="B602" s="1" t="n"/>
      <c r="C602" s="18" t="n"/>
      <c r="D602" s="18" t="n"/>
      <c r="E602" s="1" t="n"/>
      <c r="F602" s="18" t="n"/>
      <c r="G602" s="18" t="n"/>
      <c r="H602" s="18" t="n"/>
      <c r="I602" s="18" t="n"/>
      <c r="J602" s="18" t="n"/>
    </row>
    <row r="603" ht="12.3" customHeight="1" s="75">
      <c r="A603" s="17" t="n"/>
      <c r="B603" s="1" t="n"/>
      <c r="C603" s="18" t="n"/>
      <c r="D603" s="18" t="n"/>
      <c r="E603" s="1" t="n"/>
      <c r="F603" s="18" t="n"/>
      <c r="G603" s="18" t="n"/>
      <c r="H603" s="18" t="n"/>
      <c r="I603" s="18" t="n"/>
      <c r="J603" s="18" t="n"/>
    </row>
    <row r="604" ht="12.3" customHeight="1" s="75">
      <c r="A604" s="17" t="n"/>
      <c r="B604" s="1" t="n"/>
      <c r="C604" s="18" t="n"/>
      <c r="D604" s="18" t="n"/>
      <c r="E604" s="1" t="n"/>
      <c r="F604" s="18" t="n"/>
      <c r="G604" s="18" t="n"/>
      <c r="H604" s="18" t="n"/>
      <c r="I604" s="18" t="n"/>
      <c r="J604" s="18" t="n"/>
    </row>
    <row r="605" ht="12.3" customHeight="1" s="75">
      <c r="A605" s="17" t="n"/>
      <c r="B605" s="1" t="n"/>
      <c r="C605" s="18" t="n"/>
      <c r="D605" s="18" t="n"/>
      <c r="E605" s="1" t="n"/>
      <c r="F605" s="18" t="n"/>
      <c r="G605" s="18" t="n"/>
      <c r="H605" s="18" t="n"/>
      <c r="I605" s="18" t="n"/>
      <c r="J605" s="18" t="n"/>
    </row>
    <row r="606" ht="12.3" customHeight="1" s="75">
      <c r="A606" s="17" t="n"/>
      <c r="B606" s="1" t="n"/>
      <c r="C606" s="18" t="n"/>
      <c r="D606" s="18" t="n"/>
      <c r="E606" s="1" t="n"/>
      <c r="F606" s="18" t="n"/>
      <c r="G606" s="18" t="n"/>
      <c r="H606" s="18" t="n"/>
      <c r="I606" s="18" t="n"/>
      <c r="J606" s="18" t="n"/>
    </row>
    <row r="607" ht="12.3" customHeight="1" s="75">
      <c r="A607" s="17" t="n"/>
      <c r="B607" s="1" t="n"/>
      <c r="C607" s="18" t="n"/>
      <c r="D607" s="18" t="n"/>
      <c r="E607" s="1" t="n"/>
      <c r="F607" s="18" t="n"/>
      <c r="G607" s="18" t="n"/>
      <c r="H607" s="18" t="n"/>
      <c r="I607" s="18" t="n"/>
      <c r="J607" s="18" t="n"/>
    </row>
    <row r="608" ht="12.3" customHeight="1" s="75">
      <c r="A608" s="17" t="n"/>
      <c r="B608" s="1" t="n"/>
      <c r="C608" s="18" t="n"/>
      <c r="D608" s="18" t="n"/>
      <c r="E608" s="1" t="n"/>
      <c r="F608" s="18" t="n"/>
      <c r="G608" s="18" t="n"/>
      <c r="H608" s="18" t="n"/>
      <c r="I608" s="18" t="n"/>
      <c r="J608" s="18" t="n"/>
    </row>
    <row r="609" ht="12.3" customHeight="1" s="75">
      <c r="A609" s="17" t="n"/>
      <c r="B609" s="1" t="n"/>
      <c r="C609" s="18" t="n"/>
      <c r="D609" s="18" t="n"/>
      <c r="E609" s="1" t="n"/>
      <c r="F609" s="18" t="n"/>
      <c r="G609" s="18" t="n"/>
      <c r="H609" s="18" t="n"/>
      <c r="I609" s="18" t="n"/>
      <c r="J609" s="18" t="n"/>
    </row>
    <row r="610" ht="12.3" customHeight="1" s="75">
      <c r="A610" s="17" t="n"/>
      <c r="B610" s="1" t="n"/>
      <c r="C610" s="18" t="n"/>
      <c r="D610" s="18" t="n"/>
      <c r="E610" s="1" t="n"/>
      <c r="F610" s="18" t="n"/>
      <c r="G610" s="18" t="n"/>
      <c r="H610" s="18" t="n"/>
      <c r="I610" s="18" t="n"/>
      <c r="J610" s="18" t="n"/>
    </row>
    <row r="611" ht="12.3" customHeight="1" s="75">
      <c r="A611" s="17" t="n"/>
      <c r="B611" s="1" t="n"/>
      <c r="C611" s="18" t="n"/>
      <c r="D611" s="18" t="n"/>
      <c r="E611" s="1" t="n"/>
      <c r="F611" s="18" t="n"/>
      <c r="G611" s="18" t="n"/>
      <c r="H611" s="18" t="n"/>
      <c r="I611" s="18" t="n"/>
      <c r="J611" s="18" t="n"/>
    </row>
    <row r="612" ht="12.3" customHeight="1" s="75">
      <c r="A612" s="17" t="n"/>
      <c r="B612" s="1" t="n"/>
      <c r="C612" s="18" t="n"/>
      <c r="D612" s="18" t="n"/>
      <c r="E612" s="1" t="n"/>
      <c r="F612" s="18" t="n"/>
      <c r="G612" s="18" t="n"/>
      <c r="H612" s="18" t="n"/>
      <c r="I612" s="18" t="n"/>
      <c r="J612" s="18" t="n"/>
    </row>
    <row r="613" ht="12.3" customHeight="1" s="75">
      <c r="A613" s="17" t="n"/>
      <c r="B613" s="1" t="n"/>
      <c r="C613" s="18" t="n"/>
      <c r="D613" s="18" t="n"/>
      <c r="E613" s="1" t="n"/>
      <c r="F613" s="18" t="n"/>
      <c r="G613" s="18" t="n"/>
      <c r="H613" s="18" t="n"/>
      <c r="I613" s="18" t="n"/>
      <c r="J613" s="18" t="n"/>
    </row>
    <row r="614" ht="12.3" customHeight="1" s="75">
      <c r="A614" s="17" t="n"/>
      <c r="B614" s="1" t="n"/>
      <c r="C614" s="18" t="n"/>
      <c r="D614" s="18" t="n"/>
      <c r="E614" s="1" t="n"/>
      <c r="F614" s="18" t="n"/>
      <c r="G614" s="18" t="n"/>
      <c r="H614" s="18" t="n"/>
      <c r="I614" s="18" t="n"/>
      <c r="J614" s="18" t="n"/>
    </row>
    <row r="615" ht="12.3" customHeight="1" s="75">
      <c r="A615" s="17" t="n"/>
      <c r="B615" s="1" t="n"/>
      <c r="C615" s="18" t="n"/>
      <c r="D615" s="18" t="n"/>
      <c r="E615" s="1" t="n"/>
      <c r="F615" s="18" t="n"/>
      <c r="G615" s="18" t="n"/>
      <c r="H615" s="18" t="n"/>
      <c r="I615" s="18" t="n"/>
      <c r="J615" s="18" t="n"/>
    </row>
    <row r="616" ht="12.3" customHeight="1" s="75">
      <c r="A616" s="17" t="n"/>
      <c r="B616" s="1" t="n"/>
      <c r="C616" s="18" t="n"/>
      <c r="D616" s="18" t="n"/>
      <c r="E616" s="1" t="n"/>
      <c r="F616" s="18" t="n"/>
      <c r="G616" s="18" t="n"/>
      <c r="H616" s="18" t="n"/>
      <c r="I616" s="18" t="n"/>
      <c r="J616" s="18" t="n"/>
    </row>
    <row r="617" ht="12.3" customHeight="1" s="75">
      <c r="A617" s="17" t="n"/>
      <c r="B617" s="1" t="n"/>
      <c r="C617" s="18" t="n"/>
      <c r="D617" s="18" t="n"/>
      <c r="E617" s="1" t="n"/>
      <c r="F617" s="18" t="n"/>
      <c r="G617" s="18" t="n"/>
      <c r="H617" s="18" t="n"/>
      <c r="I617" s="18" t="n"/>
      <c r="J617" s="18" t="n"/>
    </row>
    <row r="618" ht="12.3" customHeight="1" s="75">
      <c r="A618" s="17" t="n"/>
      <c r="B618" s="1" t="n"/>
      <c r="C618" s="18" t="n"/>
      <c r="D618" s="18" t="n"/>
      <c r="E618" s="1" t="n"/>
      <c r="F618" s="18" t="n"/>
      <c r="G618" s="18" t="n"/>
      <c r="H618" s="18" t="n"/>
      <c r="I618" s="18" t="n"/>
      <c r="J618" s="18" t="n"/>
    </row>
    <row r="619" ht="12.3" customHeight="1" s="75">
      <c r="A619" s="17" t="n"/>
      <c r="B619" s="1" t="n"/>
      <c r="C619" s="18" t="n"/>
      <c r="D619" s="18" t="n"/>
      <c r="E619" s="1" t="n"/>
      <c r="F619" s="18" t="n"/>
      <c r="G619" s="18" t="n"/>
      <c r="H619" s="18" t="n"/>
      <c r="I619" s="18" t="n"/>
      <c r="J619" s="18" t="n"/>
    </row>
    <row r="620" ht="12.3" customHeight="1" s="75">
      <c r="A620" s="17" t="n"/>
      <c r="B620" s="1" t="n"/>
      <c r="C620" s="18" t="n"/>
      <c r="D620" s="18" t="n"/>
      <c r="E620" s="1" t="n"/>
      <c r="F620" s="18" t="n"/>
      <c r="G620" s="18" t="n"/>
      <c r="H620" s="18" t="n"/>
      <c r="I620" s="18" t="n"/>
      <c r="J620" s="18" t="n"/>
    </row>
    <row r="621" ht="12.3" customHeight="1" s="75">
      <c r="A621" s="17" t="n"/>
      <c r="B621" s="1" t="n"/>
      <c r="C621" s="18" t="n"/>
      <c r="D621" s="18" t="n"/>
      <c r="E621" s="1" t="n"/>
      <c r="F621" s="18" t="n"/>
      <c r="G621" s="18" t="n"/>
      <c r="H621" s="18" t="n"/>
      <c r="I621" s="18" t="n"/>
      <c r="J621" s="18" t="n"/>
    </row>
    <row r="622" ht="12.3" customHeight="1" s="75">
      <c r="A622" s="17" t="n"/>
      <c r="B622" s="1" t="n"/>
      <c r="C622" s="18" t="n"/>
      <c r="D622" s="18" t="n"/>
      <c r="E622" s="1" t="n"/>
      <c r="F622" s="18" t="n"/>
      <c r="G622" s="18" t="n"/>
      <c r="H622" s="18" t="n"/>
      <c r="I622" s="18" t="n"/>
      <c r="J622" s="18" t="n"/>
    </row>
    <row r="623" ht="12.3" customHeight="1" s="75">
      <c r="A623" s="17" t="n"/>
      <c r="B623" s="1" t="n"/>
      <c r="C623" s="18" t="n"/>
      <c r="D623" s="18" t="n"/>
      <c r="E623" s="1" t="n"/>
      <c r="F623" s="18" t="n"/>
      <c r="G623" s="18" t="n"/>
      <c r="H623" s="18" t="n"/>
      <c r="I623" s="18" t="n"/>
      <c r="J623" s="18" t="n"/>
    </row>
    <row r="624" ht="12.3" customHeight="1" s="75">
      <c r="A624" s="17" t="n"/>
      <c r="B624" s="1" t="n"/>
      <c r="C624" s="18" t="n"/>
      <c r="D624" s="18" t="n"/>
      <c r="E624" s="1" t="n"/>
      <c r="F624" s="18" t="n"/>
      <c r="G624" s="18" t="n"/>
      <c r="H624" s="18" t="n"/>
      <c r="I624" s="18" t="n"/>
      <c r="J624" s="18" t="n"/>
    </row>
    <row r="625" ht="12.3" customHeight="1" s="75">
      <c r="A625" s="17" t="n"/>
      <c r="B625" s="1" t="n"/>
      <c r="C625" s="18" t="n"/>
      <c r="D625" s="18" t="n"/>
      <c r="E625" s="1" t="n"/>
      <c r="F625" s="18" t="n"/>
      <c r="G625" s="18" t="n"/>
      <c r="H625" s="18" t="n"/>
      <c r="I625" s="18" t="n"/>
      <c r="J625" s="18" t="n"/>
    </row>
    <row r="626" ht="12.3" customHeight="1" s="75">
      <c r="A626" s="17" t="n"/>
      <c r="B626" s="1" t="n"/>
      <c r="C626" s="18" t="n"/>
      <c r="D626" s="18" t="n"/>
      <c r="E626" s="1" t="n"/>
      <c r="F626" s="18" t="n"/>
      <c r="G626" s="18" t="n"/>
      <c r="H626" s="18" t="n"/>
      <c r="I626" s="18" t="n"/>
      <c r="J626" s="18" t="n"/>
    </row>
    <row r="627" ht="12.3" customHeight="1" s="75">
      <c r="A627" s="17" t="n"/>
      <c r="B627" s="1" t="n"/>
      <c r="C627" s="18" t="n"/>
      <c r="D627" s="18" t="n"/>
      <c r="E627" s="1" t="n"/>
      <c r="F627" s="18" t="n"/>
      <c r="G627" s="18" t="n"/>
      <c r="H627" s="18" t="n"/>
      <c r="I627" s="18" t="n"/>
      <c r="J627" s="18" t="n"/>
    </row>
    <row r="628" ht="12.3" customHeight="1" s="75">
      <c r="A628" s="17" t="n"/>
      <c r="B628" s="1" t="n"/>
      <c r="C628" s="18" t="n"/>
      <c r="D628" s="18" t="n"/>
      <c r="E628" s="1" t="n"/>
      <c r="F628" s="18" t="n"/>
      <c r="G628" s="18" t="n"/>
      <c r="H628" s="18" t="n"/>
      <c r="I628" s="18" t="n"/>
      <c r="J628" s="18" t="n"/>
    </row>
    <row r="629" ht="12.3" customHeight="1" s="75">
      <c r="A629" s="17" t="n"/>
      <c r="B629" s="1" t="n"/>
      <c r="C629" s="18" t="n"/>
      <c r="D629" s="18" t="n"/>
      <c r="E629" s="1" t="n"/>
      <c r="F629" s="18" t="n"/>
      <c r="G629" s="18" t="n"/>
      <c r="H629" s="18" t="n"/>
      <c r="I629" s="18" t="n"/>
      <c r="J629" s="18" t="n"/>
    </row>
    <row r="630" ht="12.3" customHeight="1" s="75">
      <c r="A630" s="17" t="n"/>
      <c r="B630" s="1" t="n"/>
      <c r="C630" s="18" t="n"/>
      <c r="D630" s="18" t="n"/>
      <c r="E630" s="1" t="n"/>
      <c r="F630" s="18" t="n"/>
      <c r="G630" s="18" t="n"/>
      <c r="H630" s="18" t="n"/>
      <c r="I630" s="18" t="n"/>
      <c r="J630" s="18" t="n"/>
    </row>
    <row r="631" ht="12.3" customHeight="1" s="75">
      <c r="A631" s="17" t="n"/>
      <c r="B631" s="1" t="n"/>
      <c r="C631" s="18" t="n"/>
      <c r="D631" s="18" t="n"/>
      <c r="E631" s="1" t="n"/>
      <c r="F631" s="18" t="n"/>
      <c r="G631" s="18" t="n"/>
      <c r="H631" s="18" t="n"/>
      <c r="I631" s="18" t="n"/>
      <c r="J631" s="18" t="n"/>
    </row>
    <row r="632" ht="12.3" customHeight="1" s="75">
      <c r="A632" s="17" t="n"/>
      <c r="B632" s="1" t="n"/>
      <c r="C632" s="18" t="n"/>
      <c r="D632" s="18" t="n"/>
      <c r="E632" s="1" t="n"/>
      <c r="F632" s="18" t="n"/>
      <c r="G632" s="18" t="n"/>
      <c r="H632" s="18" t="n"/>
      <c r="I632" s="18" t="n"/>
      <c r="J632" s="18" t="n"/>
    </row>
    <row r="633" ht="12.3" customHeight="1" s="75">
      <c r="A633" s="17" t="n"/>
      <c r="B633" s="1" t="n"/>
      <c r="C633" s="18" t="n"/>
      <c r="D633" s="18" t="n"/>
      <c r="E633" s="1" t="n"/>
      <c r="F633" s="18" t="n"/>
      <c r="G633" s="18" t="n"/>
      <c r="H633" s="18" t="n"/>
      <c r="I633" s="18" t="n"/>
      <c r="J633" s="18" t="n"/>
    </row>
    <row r="634" ht="12.3" customHeight="1" s="75">
      <c r="A634" s="17" t="n"/>
      <c r="B634" s="1" t="n"/>
      <c r="C634" s="18" t="n"/>
      <c r="D634" s="18" t="n"/>
      <c r="E634" s="1" t="n"/>
      <c r="F634" s="18" t="n"/>
      <c r="G634" s="18" t="n"/>
      <c r="H634" s="18" t="n"/>
      <c r="I634" s="18" t="n"/>
      <c r="J634" s="18" t="n"/>
    </row>
    <row r="635" ht="12.3" customHeight="1" s="75">
      <c r="A635" s="17" t="n"/>
      <c r="B635" s="1" t="n"/>
      <c r="C635" s="18" t="n"/>
      <c r="D635" s="18" t="n"/>
      <c r="E635" s="1" t="n"/>
      <c r="F635" s="18" t="n"/>
      <c r="G635" s="18" t="n"/>
      <c r="H635" s="18" t="n"/>
      <c r="I635" s="18" t="n"/>
      <c r="J635" s="18" t="n"/>
    </row>
    <row r="636" ht="12.3" customHeight="1" s="75">
      <c r="A636" s="17" t="n"/>
      <c r="B636" s="1" t="n"/>
      <c r="C636" s="18" t="n"/>
      <c r="D636" s="18" t="n"/>
      <c r="E636" s="1" t="n"/>
      <c r="F636" s="18" t="n"/>
      <c r="G636" s="18" t="n"/>
      <c r="H636" s="18" t="n"/>
      <c r="I636" s="18" t="n"/>
      <c r="J636" s="18" t="n"/>
    </row>
    <row r="637" ht="12.3" customHeight="1" s="75">
      <c r="A637" s="17" t="n"/>
      <c r="B637" s="1" t="n"/>
      <c r="C637" s="18" t="n"/>
      <c r="D637" s="18" t="n"/>
      <c r="E637" s="1" t="n"/>
      <c r="F637" s="18" t="n"/>
      <c r="G637" s="18" t="n"/>
      <c r="H637" s="18" t="n"/>
      <c r="I637" s="18" t="n"/>
      <c r="J637" s="18" t="n"/>
    </row>
    <row r="638" ht="12.3" customHeight="1" s="75">
      <c r="A638" s="17" t="n"/>
      <c r="B638" s="1" t="n"/>
      <c r="C638" s="18" t="n"/>
      <c r="D638" s="18" t="n"/>
      <c r="E638" s="1" t="n"/>
      <c r="F638" s="18" t="n"/>
      <c r="G638" s="18" t="n"/>
      <c r="H638" s="18" t="n"/>
      <c r="I638" s="18" t="n"/>
      <c r="J638" s="18" t="n"/>
    </row>
    <row r="639" ht="12.3" customHeight="1" s="75">
      <c r="A639" s="17" t="n"/>
      <c r="B639" s="1" t="n"/>
      <c r="C639" s="18" t="n"/>
      <c r="D639" s="18" t="n"/>
      <c r="E639" s="1" t="n"/>
      <c r="F639" s="18" t="n"/>
      <c r="G639" s="18" t="n"/>
      <c r="H639" s="18" t="n"/>
      <c r="I639" s="18" t="n"/>
      <c r="J639" s="18" t="n"/>
    </row>
    <row r="640" ht="12.3" customHeight="1" s="75">
      <c r="A640" s="17" t="n"/>
      <c r="B640" s="1" t="n"/>
      <c r="C640" s="18" t="n"/>
      <c r="D640" s="18" t="n"/>
      <c r="E640" s="1" t="n"/>
      <c r="F640" s="18" t="n"/>
      <c r="G640" s="18" t="n"/>
      <c r="H640" s="18" t="n"/>
      <c r="I640" s="18" t="n"/>
      <c r="J640" s="18" t="n"/>
    </row>
    <row r="641" ht="12.3" customHeight="1" s="75">
      <c r="A641" s="17" t="n"/>
      <c r="B641" s="1" t="n"/>
      <c r="C641" s="18" t="n"/>
      <c r="D641" s="18" t="n"/>
      <c r="E641" s="1" t="n"/>
      <c r="F641" s="18" t="n"/>
      <c r="G641" s="18" t="n"/>
      <c r="H641" s="18" t="n"/>
      <c r="I641" s="18" t="n"/>
      <c r="J641" s="18" t="n"/>
    </row>
    <row r="642" ht="12.3" customHeight="1" s="75">
      <c r="A642" s="17" t="n"/>
      <c r="B642" s="1" t="n"/>
      <c r="C642" s="18" t="n"/>
      <c r="D642" s="18" t="n"/>
      <c r="E642" s="1" t="n"/>
      <c r="F642" s="18" t="n"/>
      <c r="G642" s="18" t="n"/>
      <c r="H642" s="18" t="n"/>
      <c r="I642" s="18" t="n"/>
      <c r="J642" s="18" t="n"/>
    </row>
    <row r="643" ht="12.3" customHeight="1" s="75">
      <c r="A643" s="17" t="n"/>
      <c r="B643" s="1" t="n"/>
      <c r="C643" s="18" t="n"/>
      <c r="D643" s="18" t="n"/>
      <c r="E643" s="1" t="n"/>
      <c r="F643" s="18" t="n"/>
      <c r="G643" s="18" t="n"/>
      <c r="H643" s="18" t="n"/>
      <c r="I643" s="18" t="n"/>
      <c r="J643" s="18" t="n"/>
    </row>
    <row r="644" ht="12.3" customHeight="1" s="75">
      <c r="A644" s="17" t="n"/>
      <c r="B644" s="1" t="n"/>
      <c r="C644" s="18" t="n"/>
      <c r="D644" s="18" t="n"/>
      <c r="E644" s="1" t="n"/>
      <c r="F644" s="18" t="n"/>
      <c r="G644" s="18" t="n"/>
      <c r="H644" s="18" t="n"/>
      <c r="I644" s="18" t="n"/>
      <c r="J644" s="18" t="n"/>
    </row>
    <row r="645" ht="12.3" customHeight="1" s="75">
      <c r="A645" s="17" t="n"/>
      <c r="B645" s="1" t="n"/>
      <c r="C645" s="18" t="n"/>
      <c r="D645" s="18" t="n"/>
      <c r="E645" s="1" t="n"/>
      <c r="F645" s="18" t="n"/>
      <c r="G645" s="18" t="n"/>
      <c r="H645" s="18" t="n"/>
      <c r="I645" s="18" t="n"/>
      <c r="J645" s="18" t="n"/>
    </row>
    <row r="646" ht="12.3" customHeight="1" s="75">
      <c r="A646" s="17" t="n"/>
      <c r="B646" s="1" t="n"/>
      <c r="C646" s="18" t="n"/>
      <c r="D646" s="18" t="n"/>
      <c r="E646" s="1" t="n"/>
      <c r="F646" s="18" t="n"/>
      <c r="G646" s="18" t="n"/>
      <c r="H646" s="18" t="n"/>
      <c r="I646" s="18" t="n"/>
      <c r="J646" s="18" t="n"/>
    </row>
    <row r="647" ht="12.3" customHeight="1" s="75">
      <c r="A647" s="17" t="n"/>
      <c r="B647" s="1" t="n"/>
      <c r="C647" s="18" t="n"/>
      <c r="D647" s="18" t="n"/>
      <c r="E647" s="1" t="n"/>
      <c r="F647" s="18" t="n"/>
      <c r="G647" s="18" t="n"/>
      <c r="H647" s="18" t="n"/>
      <c r="I647" s="18" t="n"/>
      <c r="J647" s="18" t="n"/>
    </row>
    <row r="648" ht="12.3" customHeight="1" s="75">
      <c r="A648" s="17" t="n"/>
      <c r="B648" s="1" t="n"/>
      <c r="C648" s="18" t="n"/>
      <c r="D648" s="18" t="n"/>
      <c r="E648" s="1" t="n"/>
      <c r="F648" s="18" t="n"/>
      <c r="G648" s="18" t="n"/>
      <c r="H648" s="18" t="n"/>
      <c r="I648" s="18" t="n"/>
      <c r="J648" s="18" t="n"/>
    </row>
    <row r="649" ht="12.3" customHeight="1" s="75">
      <c r="A649" s="17" t="n"/>
      <c r="B649" s="1" t="n"/>
      <c r="C649" s="18" t="n"/>
      <c r="D649" s="18" t="n"/>
      <c r="E649" s="1" t="n"/>
      <c r="F649" s="18" t="n"/>
      <c r="G649" s="18" t="n"/>
      <c r="H649" s="18" t="n"/>
      <c r="I649" s="18" t="n"/>
      <c r="J649" s="18" t="n"/>
    </row>
    <row r="650" ht="12.3" customHeight="1" s="75">
      <c r="A650" s="17" t="n"/>
      <c r="B650" s="1" t="n"/>
      <c r="C650" s="18" t="n"/>
      <c r="D650" s="18" t="n"/>
      <c r="E650" s="1" t="n"/>
      <c r="F650" s="18" t="n"/>
      <c r="G650" s="18" t="n"/>
      <c r="H650" s="18" t="n"/>
      <c r="I650" s="18" t="n"/>
      <c r="J650" s="18" t="n"/>
    </row>
    <row r="651" ht="12.3" customHeight="1" s="75">
      <c r="A651" s="17" t="n"/>
      <c r="B651" s="1" t="n"/>
      <c r="C651" s="18" t="n"/>
      <c r="D651" s="18" t="n"/>
      <c r="E651" s="1" t="n"/>
      <c r="F651" s="18" t="n"/>
      <c r="G651" s="18" t="n"/>
      <c r="H651" s="18" t="n"/>
      <c r="I651" s="18" t="n"/>
      <c r="J651" s="18" t="n"/>
    </row>
    <row r="652" ht="12.3" customHeight="1" s="75">
      <c r="A652" s="17" t="n"/>
      <c r="B652" s="1" t="n"/>
      <c r="C652" s="18" t="n"/>
      <c r="D652" s="18" t="n"/>
      <c r="E652" s="1" t="n"/>
      <c r="F652" s="18" t="n"/>
      <c r="G652" s="18" t="n"/>
      <c r="H652" s="18" t="n"/>
      <c r="I652" s="18" t="n"/>
      <c r="J652" s="18" t="n"/>
    </row>
    <row r="653" ht="12.3" customHeight="1" s="75">
      <c r="A653" s="17" t="n"/>
      <c r="B653" s="1" t="n"/>
      <c r="C653" s="18" t="n"/>
      <c r="D653" s="18" t="n"/>
      <c r="E653" s="1" t="n"/>
      <c r="F653" s="18" t="n"/>
      <c r="G653" s="18" t="n"/>
      <c r="H653" s="18" t="n"/>
      <c r="I653" s="18" t="n"/>
      <c r="J653" s="18" t="n"/>
    </row>
    <row r="654" ht="12.3" customHeight="1" s="75">
      <c r="A654" s="17" t="n"/>
      <c r="B654" s="1" t="n"/>
      <c r="C654" s="18" t="n"/>
      <c r="D654" s="18" t="n"/>
      <c r="E654" s="1" t="n"/>
      <c r="F654" s="18" t="n"/>
      <c r="G654" s="18" t="n"/>
      <c r="H654" s="18" t="n"/>
      <c r="I654" s="18" t="n"/>
      <c r="J654" s="18" t="n"/>
    </row>
    <row r="655" ht="12.3" customHeight="1" s="75">
      <c r="A655" s="17" t="n"/>
      <c r="B655" s="1" t="n"/>
      <c r="C655" s="18" t="n"/>
      <c r="D655" s="18" t="n"/>
      <c r="E655" s="1" t="n"/>
      <c r="F655" s="18" t="n"/>
      <c r="G655" s="18" t="n"/>
      <c r="H655" s="18" t="n"/>
      <c r="I655" s="18" t="n"/>
      <c r="J655" s="18" t="n"/>
    </row>
    <row r="656" ht="12.3" customHeight="1" s="75">
      <c r="A656" s="17" t="n"/>
      <c r="B656" s="1" t="n"/>
      <c r="C656" s="18" t="n"/>
      <c r="D656" s="18" t="n"/>
      <c r="E656" s="1" t="n"/>
      <c r="F656" s="18" t="n"/>
      <c r="G656" s="18" t="n"/>
      <c r="H656" s="18" t="n"/>
      <c r="I656" s="18" t="n"/>
      <c r="J656" s="18" t="n"/>
    </row>
    <row r="657" ht="12.3" customHeight="1" s="75">
      <c r="A657" s="17" t="n"/>
      <c r="B657" s="1" t="n"/>
      <c r="C657" s="18" t="n"/>
      <c r="D657" s="18" t="n"/>
      <c r="E657" s="1" t="n"/>
      <c r="F657" s="18" t="n"/>
      <c r="G657" s="18" t="n"/>
      <c r="H657" s="18" t="n"/>
      <c r="I657" s="18" t="n"/>
      <c r="J657" s="18" t="n"/>
    </row>
    <row r="658" ht="12.3" customHeight="1" s="75">
      <c r="A658" s="17" t="n"/>
      <c r="B658" s="1" t="n"/>
      <c r="C658" s="18" t="n"/>
      <c r="D658" s="18" t="n"/>
      <c r="E658" s="1" t="n"/>
      <c r="F658" s="18" t="n"/>
      <c r="G658" s="18" t="n"/>
      <c r="H658" s="18" t="n"/>
      <c r="I658" s="18" t="n"/>
      <c r="J658" s="18" t="n"/>
    </row>
    <row r="659" ht="12.3" customHeight="1" s="75">
      <c r="A659" s="17" t="n"/>
      <c r="B659" s="1" t="n"/>
      <c r="C659" s="18" t="n"/>
      <c r="D659" s="18" t="n"/>
      <c r="E659" s="1" t="n"/>
      <c r="F659" s="18" t="n"/>
      <c r="G659" s="18" t="n"/>
      <c r="H659" s="18" t="n"/>
      <c r="I659" s="18" t="n"/>
      <c r="J659" s="18" t="n"/>
    </row>
    <row r="660" ht="12.3" customHeight="1" s="75">
      <c r="A660" s="17" t="n"/>
      <c r="B660" s="1" t="n"/>
      <c r="C660" s="18" t="n"/>
      <c r="D660" s="18" t="n"/>
      <c r="E660" s="1" t="n"/>
      <c r="F660" s="18" t="n"/>
      <c r="G660" s="18" t="n"/>
      <c r="H660" s="18" t="n"/>
      <c r="I660" s="18" t="n"/>
      <c r="J660" s="18" t="n"/>
    </row>
    <row r="661" ht="12.3" customHeight="1" s="75">
      <c r="A661" s="17" t="n"/>
      <c r="B661" s="1" t="n"/>
      <c r="C661" s="18" t="n"/>
      <c r="D661" s="18" t="n"/>
      <c r="E661" s="1" t="n"/>
      <c r="F661" s="18" t="n"/>
      <c r="G661" s="18" t="n"/>
      <c r="H661" s="18" t="n"/>
      <c r="I661" s="18" t="n"/>
      <c r="J661" s="18" t="n"/>
    </row>
    <row r="662" ht="12.3" customHeight="1" s="75">
      <c r="A662" s="17" t="n"/>
      <c r="B662" s="1" t="n"/>
      <c r="C662" s="18" t="n"/>
      <c r="D662" s="18" t="n"/>
      <c r="E662" s="1" t="n"/>
      <c r="F662" s="18" t="n"/>
      <c r="G662" s="18" t="n"/>
      <c r="H662" s="18" t="n"/>
      <c r="I662" s="18" t="n"/>
      <c r="J662" s="18" t="n"/>
    </row>
    <row r="663" ht="12.3" customHeight="1" s="75">
      <c r="A663" s="17" t="n"/>
      <c r="B663" s="1" t="n"/>
      <c r="C663" s="18" t="n"/>
      <c r="D663" s="18" t="n"/>
      <c r="E663" s="1" t="n"/>
      <c r="F663" s="18" t="n"/>
      <c r="G663" s="18" t="n"/>
      <c r="H663" s="18" t="n"/>
      <c r="I663" s="18" t="n"/>
      <c r="J663" s="18" t="n"/>
    </row>
    <row r="664" ht="12.3" customHeight="1" s="75">
      <c r="A664" s="17" t="n"/>
      <c r="B664" s="1" t="n"/>
      <c r="C664" s="18" t="n"/>
      <c r="D664" s="18" t="n"/>
      <c r="E664" s="1" t="n"/>
      <c r="F664" s="18" t="n"/>
      <c r="G664" s="18" t="n"/>
      <c r="H664" s="18" t="n"/>
      <c r="I664" s="18" t="n"/>
      <c r="J664" s="18" t="n"/>
    </row>
    <row r="665" ht="12.3" customHeight="1" s="75">
      <c r="A665" s="17" t="n"/>
      <c r="B665" s="1" t="n"/>
      <c r="C665" s="18" t="n"/>
      <c r="D665" s="18" t="n"/>
      <c r="E665" s="1" t="n"/>
      <c r="F665" s="18" t="n"/>
      <c r="G665" s="18" t="n"/>
      <c r="H665" s="18" t="n"/>
      <c r="I665" s="18" t="n"/>
      <c r="J665" s="18" t="n"/>
    </row>
    <row r="666" ht="12.3" customHeight="1" s="75">
      <c r="A666" s="17" t="n"/>
      <c r="B666" s="1" t="n"/>
      <c r="C666" s="18" t="n"/>
      <c r="D666" s="18" t="n"/>
      <c r="E666" s="1" t="n"/>
      <c r="F666" s="18" t="n"/>
      <c r="G666" s="18" t="n"/>
      <c r="H666" s="18" t="n"/>
      <c r="I666" s="18" t="n"/>
      <c r="J666" s="18" t="n"/>
    </row>
    <row r="667" ht="12.3" customHeight="1" s="75">
      <c r="A667" s="17" t="n"/>
      <c r="B667" s="1" t="n"/>
      <c r="C667" s="18" t="n"/>
      <c r="D667" s="18" t="n"/>
      <c r="E667" s="1" t="n"/>
      <c r="F667" s="18" t="n"/>
      <c r="G667" s="18" t="n"/>
      <c r="H667" s="18" t="n"/>
      <c r="I667" s="18" t="n"/>
      <c r="J667" s="18" t="n"/>
    </row>
    <row r="668" ht="12.3" customHeight="1" s="75">
      <c r="A668" s="17" t="n"/>
      <c r="B668" s="1" t="n"/>
      <c r="C668" s="18" t="n"/>
      <c r="D668" s="18" t="n"/>
      <c r="E668" s="1" t="n"/>
      <c r="F668" s="18" t="n"/>
      <c r="G668" s="18" t="n"/>
      <c r="H668" s="18" t="n"/>
      <c r="I668" s="18" t="n"/>
      <c r="J668" s="18" t="n"/>
    </row>
    <row r="669" ht="12.3" customHeight="1" s="75">
      <c r="A669" s="17" t="n"/>
      <c r="B669" s="1" t="n"/>
      <c r="C669" s="18" t="n"/>
      <c r="D669" s="18" t="n"/>
      <c r="E669" s="1" t="n"/>
      <c r="F669" s="18" t="n"/>
      <c r="G669" s="18" t="n"/>
      <c r="H669" s="18" t="n"/>
      <c r="I669" s="18" t="n"/>
      <c r="J669" s="18" t="n"/>
    </row>
    <row r="670" ht="12.3" customHeight="1" s="75">
      <c r="A670" s="17" t="n"/>
      <c r="B670" s="1" t="n"/>
      <c r="C670" s="18" t="n"/>
      <c r="D670" s="18" t="n"/>
      <c r="E670" s="1" t="n"/>
      <c r="F670" s="18" t="n"/>
      <c r="G670" s="18" t="n"/>
      <c r="H670" s="18" t="n"/>
      <c r="I670" s="18" t="n"/>
      <c r="J670" s="18" t="n"/>
    </row>
    <row r="671" ht="12.3" customHeight="1" s="75">
      <c r="A671" s="17" t="n"/>
      <c r="B671" s="1" t="n"/>
      <c r="C671" s="18" t="n"/>
      <c r="D671" s="18" t="n"/>
      <c r="E671" s="1" t="n"/>
      <c r="F671" s="18" t="n"/>
      <c r="G671" s="18" t="n"/>
      <c r="H671" s="18" t="n"/>
      <c r="I671" s="18" t="n"/>
      <c r="J671" s="18" t="n"/>
    </row>
    <row r="672" ht="12.3" customHeight="1" s="75">
      <c r="A672" s="17" t="n"/>
      <c r="B672" s="1" t="n"/>
      <c r="C672" s="18" t="n"/>
      <c r="D672" s="18" t="n"/>
      <c r="E672" s="1" t="n"/>
      <c r="F672" s="18" t="n"/>
      <c r="G672" s="18" t="n"/>
      <c r="H672" s="18" t="n"/>
      <c r="I672" s="18" t="n"/>
      <c r="J672" s="18" t="n"/>
    </row>
    <row r="673" ht="12.3" customHeight="1" s="75">
      <c r="A673" s="17" t="n"/>
      <c r="B673" s="1" t="n"/>
      <c r="C673" s="18" t="n"/>
      <c r="D673" s="18" t="n"/>
      <c r="E673" s="1" t="n"/>
      <c r="F673" s="18" t="n"/>
      <c r="G673" s="18" t="n"/>
      <c r="H673" s="18" t="n"/>
      <c r="I673" s="18" t="n"/>
      <c r="J673" s="18" t="n"/>
    </row>
    <row r="674" ht="12.3" customHeight="1" s="75">
      <c r="A674" s="17" t="n"/>
      <c r="B674" s="1" t="n"/>
      <c r="C674" s="18" t="n"/>
      <c r="D674" s="18" t="n"/>
      <c r="E674" s="1" t="n"/>
      <c r="F674" s="18" t="n"/>
      <c r="G674" s="18" t="n"/>
      <c r="H674" s="18" t="n"/>
      <c r="I674" s="18" t="n"/>
      <c r="J674" s="18" t="n"/>
    </row>
    <row r="675" ht="12.3" customHeight="1" s="75">
      <c r="A675" s="17" t="n"/>
      <c r="B675" s="1" t="n"/>
      <c r="C675" s="18" t="n"/>
      <c r="D675" s="18" t="n"/>
      <c r="E675" s="1" t="n"/>
      <c r="F675" s="18" t="n"/>
      <c r="G675" s="18" t="n"/>
      <c r="H675" s="18" t="n"/>
      <c r="I675" s="18" t="n"/>
      <c r="J675" s="18" t="n"/>
    </row>
    <row r="676" ht="12.3" customHeight="1" s="75">
      <c r="A676" s="17" t="n"/>
      <c r="B676" s="1" t="n"/>
      <c r="C676" s="18" t="n"/>
      <c r="D676" s="18" t="n"/>
      <c r="E676" s="1" t="n"/>
      <c r="F676" s="18" t="n"/>
      <c r="G676" s="18" t="n"/>
      <c r="H676" s="18" t="n"/>
      <c r="I676" s="18" t="n"/>
      <c r="J676" s="18" t="n"/>
    </row>
    <row r="677" ht="12.3" customHeight="1" s="75">
      <c r="A677" s="17" t="n"/>
      <c r="B677" s="1" t="n"/>
      <c r="C677" s="18" t="n"/>
      <c r="D677" s="18" t="n"/>
      <c r="E677" s="1" t="n"/>
      <c r="F677" s="18" t="n"/>
      <c r="G677" s="18" t="n"/>
      <c r="H677" s="18" t="n"/>
      <c r="I677" s="18" t="n"/>
      <c r="J677" s="18" t="n"/>
    </row>
    <row r="678" ht="12.3" customHeight="1" s="75">
      <c r="A678" s="17" t="n"/>
      <c r="B678" s="1" t="n"/>
      <c r="C678" s="18" t="n"/>
      <c r="D678" s="18" t="n"/>
      <c r="E678" s="1" t="n"/>
      <c r="F678" s="18" t="n"/>
      <c r="G678" s="18" t="n"/>
      <c r="H678" s="18" t="n"/>
      <c r="I678" s="18" t="n"/>
      <c r="J678" s="18" t="n"/>
    </row>
    <row r="679" ht="12.3" customHeight="1" s="75">
      <c r="A679" s="17" t="n"/>
      <c r="B679" s="1" t="n"/>
      <c r="C679" s="18" t="n"/>
      <c r="D679" s="18" t="n"/>
      <c r="E679" s="1" t="n"/>
      <c r="F679" s="18" t="n"/>
      <c r="G679" s="18" t="n"/>
      <c r="H679" s="18" t="n"/>
      <c r="I679" s="18" t="n"/>
      <c r="J679" s="18" t="n"/>
    </row>
    <row r="680" ht="12.3" customHeight="1" s="75">
      <c r="A680" s="17" t="n"/>
      <c r="B680" s="1" t="n"/>
      <c r="C680" s="18" t="n"/>
      <c r="D680" s="18" t="n"/>
      <c r="E680" s="1" t="n"/>
      <c r="F680" s="18" t="n"/>
      <c r="G680" s="18" t="n"/>
      <c r="H680" s="18" t="n"/>
      <c r="I680" s="18" t="n"/>
      <c r="J680" s="18" t="n"/>
    </row>
    <row r="681" ht="12.3" customHeight="1" s="75">
      <c r="A681" s="17" t="n"/>
      <c r="B681" s="1" t="n"/>
      <c r="C681" s="18" t="n"/>
      <c r="D681" s="18" t="n"/>
      <c r="E681" s="1" t="n"/>
      <c r="F681" s="18" t="n"/>
      <c r="G681" s="18" t="n"/>
      <c r="H681" s="18" t="n"/>
      <c r="I681" s="18" t="n"/>
      <c r="J681" s="18" t="n"/>
    </row>
    <row r="682" ht="12.3" customHeight="1" s="75">
      <c r="A682" s="17" t="n"/>
      <c r="B682" s="1" t="n"/>
      <c r="C682" s="18" t="n"/>
      <c r="D682" s="18" t="n"/>
      <c r="E682" s="1" t="n"/>
      <c r="F682" s="18" t="n"/>
      <c r="G682" s="18" t="n"/>
      <c r="H682" s="18" t="n"/>
      <c r="I682" s="18" t="n"/>
      <c r="J682" s="18" t="n"/>
    </row>
    <row r="683" ht="12.3" customHeight="1" s="75">
      <c r="A683" s="17" t="n"/>
      <c r="B683" s="1" t="n"/>
      <c r="C683" s="18" t="n"/>
      <c r="D683" s="18" t="n"/>
      <c r="E683" s="1" t="n"/>
      <c r="F683" s="18" t="n"/>
      <c r="G683" s="18" t="n"/>
      <c r="H683" s="18" t="n"/>
      <c r="I683" s="18" t="n"/>
      <c r="J683" s="18" t="n"/>
    </row>
    <row r="684" ht="12.3" customHeight="1" s="75">
      <c r="A684" s="17" t="n"/>
      <c r="B684" s="1" t="n"/>
      <c r="C684" s="18" t="n"/>
      <c r="D684" s="18" t="n"/>
      <c r="E684" s="1" t="n"/>
      <c r="F684" s="18" t="n"/>
      <c r="G684" s="18" t="n"/>
      <c r="H684" s="18" t="n"/>
      <c r="I684" s="18" t="n"/>
      <c r="J684" s="18" t="n"/>
    </row>
    <row r="685" ht="12.3" customHeight="1" s="75">
      <c r="A685" s="17" t="n"/>
      <c r="B685" s="1" t="n"/>
      <c r="C685" s="18" t="n"/>
      <c r="D685" s="18" t="n"/>
      <c r="E685" s="1" t="n"/>
      <c r="F685" s="18" t="n"/>
      <c r="G685" s="18" t="n"/>
      <c r="H685" s="18" t="n"/>
      <c r="I685" s="18" t="n"/>
      <c r="J685" s="18" t="n"/>
    </row>
    <row r="686" ht="12.3" customHeight="1" s="75">
      <c r="A686" s="17" t="n"/>
      <c r="B686" s="1" t="n"/>
      <c r="C686" s="18" t="n"/>
      <c r="D686" s="18" t="n"/>
      <c r="E686" s="1" t="n"/>
      <c r="F686" s="18" t="n"/>
      <c r="G686" s="18" t="n"/>
      <c r="H686" s="18" t="n"/>
      <c r="I686" s="18" t="n"/>
      <c r="J686" s="18" t="n"/>
    </row>
    <row r="687" ht="12.3" customHeight="1" s="75">
      <c r="A687" s="17" t="n"/>
      <c r="B687" s="1" t="n"/>
      <c r="C687" s="18" t="n"/>
      <c r="D687" s="18" t="n"/>
      <c r="E687" s="1" t="n"/>
      <c r="F687" s="18" t="n"/>
      <c r="G687" s="18" t="n"/>
      <c r="H687" s="18" t="n"/>
      <c r="I687" s="18" t="n"/>
      <c r="J687" s="18" t="n"/>
    </row>
    <row r="688" ht="12.3" customHeight="1" s="75">
      <c r="A688" s="17" t="n"/>
      <c r="B688" s="1" t="n"/>
      <c r="C688" s="18" t="n"/>
      <c r="D688" s="18" t="n"/>
      <c r="E688" s="1" t="n"/>
      <c r="F688" s="18" t="n"/>
      <c r="G688" s="18" t="n"/>
      <c r="H688" s="18" t="n"/>
      <c r="I688" s="18" t="n"/>
      <c r="J688" s="18" t="n"/>
    </row>
    <row r="689" ht="12.3" customHeight="1" s="75">
      <c r="A689" s="17" t="n"/>
      <c r="B689" s="1" t="n"/>
      <c r="C689" s="18" t="n"/>
      <c r="D689" s="18" t="n"/>
      <c r="E689" s="1" t="n"/>
      <c r="F689" s="18" t="n"/>
      <c r="G689" s="18" t="n"/>
      <c r="H689" s="18" t="n"/>
      <c r="I689" s="18" t="n"/>
      <c r="J689" s="18" t="n"/>
    </row>
    <row r="690" ht="12.3" customHeight="1" s="75">
      <c r="A690" s="17" t="n"/>
      <c r="B690" s="1" t="n"/>
      <c r="C690" s="18" t="n"/>
      <c r="D690" s="18" t="n"/>
      <c r="E690" s="1" t="n"/>
      <c r="F690" s="18" t="n"/>
      <c r="G690" s="18" t="n"/>
      <c r="H690" s="18" t="n"/>
      <c r="I690" s="18" t="n"/>
      <c r="J690" s="18" t="n"/>
    </row>
    <row r="691" ht="12.3" customHeight="1" s="75">
      <c r="A691" s="17" t="n"/>
      <c r="B691" s="1" t="n"/>
      <c r="C691" s="18" t="n"/>
      <c r="D691" s="18" t="n"/>
      <c r="E691" s="1" t="n"/>
      <c r="F691" s="18" t="n"/>
      <c r="G691" s="18" t="n"/>
      <c r="H691" s="18" t="n"/>
      <c r="I691" s="18" t="n"/>
      <c r="J691" s="18" t="n"/>
    </row>
    <row r="692" ht="12.3" customHeight="1" s="75">
      <c r="A692" s="17" t="n"/>
      <c r="B692" s="1" t="n"/>
      <c r="C692" s="18" t="n"/>
      <c r="D692" s="18" t="n"/>
      <c r="E692" s="1" t="n"/>
      <c r="F692" s="18" t="n"/>
      <c r="G692" s="18" t="n"/>
      <c r="H692" s="18" t="n"/>
      <c r="I692" s="18" t="n"/>
      <c r="J692" s="18" t="n"/>
    </row>
    <row r="693" ht="12.3" customHeight="1" s="75">
      <c r="A693" s="17" t="n"/>
      <c r="B693" s="1" t="n"/>
      <c r="C693" s="18" t="n"/>
      <c r="D693" s="18" t="n"/>
      <c r="E693" s="1" t="n"/>
      <c r="F693" s="18" t="n"/>
      <c r="G693" s="18" t="n"/>
      <c r="H693" s="18" t="n"/>
      <c r="I693" s="18" t="n"/>
      <c r="J693" s="18" t="n"/>
    </row>
    <row r="694" ht="12.3" customHeight="1" s="75">
      <c r="A694" s="17" t="n"/>
      <c r="B694" s="1" t="n"/>
      <c r="C694" s="18" t="n"/>
      <c r="D694" s="18" t="n"/>
      <c r="E694" s="1" t="n"/>
      <c r="F694" s="18" t="n"/>
      <c r="G694" s="18" t="n"/>
      <c r="H694" s="18" t="n"/>
      <c r="I694" s="18" t="n"/>
      <c r="J694" s="18" t="n"/>
    </row>
    <row r="695" ht="12.3" customHeight="1" s="75">
      <c r="A695" s="17" t="n"/>
      <c r="B695" s="1" t="n"/>
      <c r="C695" s="18" t="n"/>
      <c r="D695" s="18" t="n"/>
      <c r="E695" s="1" t="n"/>
      <c r="F695" s="18" t="n"/>
      <c r="G695" s="18" t="n"/>
      <c r="H695" s="18" t="n"/>
      <c r="I695" s="18" t="n"/>
      <c r="J695" s="18" t="n"/>
    </row>
    <row r="696" ht="12.3" customHeight="1" s="75">
      <c r="A696" s="17" t="n"/>
      <c r="B696" s="1" t="n"/>
      <c r="C696" s="18" t="n"/>
      <c r="D696" s="18" t="n"/>
      <c r="E696" s="1" t="n"/>
      <c r="F696" s="18" t="n"/>
      <c r="G696" s="18" t="n"/>
      <c r="H696" s="18" t="n"/>
      <c r="I696" s="18" t="n"/>
      <c r="J696" s="18" t="n"/>
    </row>
    <row r="697" ht="12.3" customHeight="1" s="75">
      <c r="A697" s="17" t="n"/>
      <c r="B697" s="1" t="n"/>
      <c r="C697" s="18" t="n"/>
      <c r="D697" s="18" t="n"/>
      <c r="E697" s="1" t="n"/>
      <c r="F697" s="18" t="n"/>
      <c r="G697" s="18" t="n"/>
      <c r="H697" s="18" t="n"/>
      <c r="I697" s="18" t="n"/>
      <c r="J697" s="18" t="n"/>
    </row>
    <row r="698" ht="12.3" customHeight="1" s="75">
      <c r="A698" s="17" t="n"/>
      <c r="B698" s="1" t="n"/>
      <c r="C698" s="18" t="n"/>
      <c r="D698" s="18" t="n"/>
      <c r="E698" s="1" t="n"/>
      <c r="F698" s="18" t="n"/>
      <c r="G698" s="18" t="n"/>
      <c r="H698" s="18" t="n"/>
      <c r="I698" s="18" t="n"/>
      <c r="J698" s="18" t="n"/>
    </row>
    <row r="699" ht="12.3" customHeight="1" s="75">
      <c r="A699" s="17" t="n"/>
      <c r="B699" s="1" t="n"/>
      <c r="C699" s="18" t="n"/>
      <c r="D699" s="18" t="n"/>
      <c r="E699" s="1" t="n"/>
      <c r="F699" s="18" t="n"/>
      <c r="G699" s="18" t="n"/>
      <c r="H699" s="18" t="n"/>
      <c r="I699" s="18" t="n"/>
      <c r="J699" s="18" t="n"/>
    </row>
    <row r="700" ht="12.3" customHeight="1" s="75">
      <c r="A700" s="17" t="n"/>
      <c r="B700" s="1" t="n"/>
      <c r="C700" s="18" t="n"/>
      <c r="D700" s="18" t="n"/>
      <c r="E700" s="1" t="n"/>
      <c r="F700" s="18" t="n"/>
      <c r="G700" s="18" t="n"/>
      <c r="H700" s="18" t="n"/>
      <c r="I700" s="18" t="n"/>
      <c r="J700" s="18" t="n"/>
    </row>
    <row r="701" ht="12.3" customHeight="1" s="75">
      <c r="A701" s="17" t="n"/>
      <c r="B701" s="1" t="n"/>
      <c r="C701" s="18" t="n"/>
      <c r="D701" s="18" t="n"/>
      <c r="E701" s="1" t="n"/>
      <c r="F701" s="18" t="n"/>
      <c r="G701" s="18" t="n"/>
      <c r="H701" s="18" t="n"/>
      <c r="I701" s="18" t="n"/>
      <c r="J701" s="18" t="n"/>
    </row>
    <row r="702" ht="12.3" customHeight="1" s="75">
      <c r="A702" s="17" t="n"/>
      <c r="B702" s="1" t="n"/>
      <c r="C702" s="18" t="n"/>
      <c r="D702" s="18" t="n"/>
      <c r="E702" s="1" t="n"/>
      <c r="F702" s="18" t="n"/>
      <c r="G702" s="18" t="n"/>
      <c r="H702" s="18" t="n"/>
      <c r="I702" s="18" t="n"/>
      <c r="J702" s="18" t="n"/>
    </row>
    <row r="703" ht="12.3" customHeight="1" s="75">
      <c r="A703" s="17" t="n"/>
      <c r="B703" s="1" t="n"/>
      <c r="C703" s="18" t="n"/>
      <c r="D703" s="18" t="n"/>
      <c r="E703" s="1" t="n"/>
      <c r="F703" s="18" t="n"/>
      <c r="G703" s="18" t="n"/>
      <c r="H703" s="18" t="n"/>
      <c r="I703" s="18" t="n"/>
      <c r="J703" s="18" t="n"/>
    </row>
    <row r="704" ht="12.3" customHeight="1" s="75">
      <c r="A704" s="17" t="n"/>
      <c r="B704" s="1" t="n"/>
      <c r="C704" s="18" t="n"/>
      <c r="D704" s="18" t="n"/>
      <c r="E704" s="1" t="n"/>
      <c r="F704" s="18" t="n"/>
      <c r="G704" s="18" t="n"/>
      <c r="H704" s="18" t="n"/>
      <c r="I704" s="18" t="n"/>
      <c r="J704" s="18" t="n"/>
    </row>
    <row r="705" ht="12.3" customHeight="1" s="75">
      <c r="A705" s="17" t="n"/>
      <c r="B705" s="1" t="n"/>
      <c r="C705" s="18" t="n"/>
      <c r="D705" s="18" t="n"/>
      <c r="E705" s="1" t="n"/>
      <c r="F705" s="18" t="n"/>
      <c r="G705" s="18" t="n"/>
      <c r="H705" s="18" t="n"/>
      <c r="I705" s="18" t="n"/>
      <c r="J705" s="18" t="n"/>
    </row>
    <row r="706" ht="12.3" customHeight="1" s="75">
      <c r="A706" s="17" t="n"/>
      <c r="B706" s="1" t="n"/>
      <c r="C706" s="18" t="n"/>
      <c r="D706" s="18" t="n"/>
      <c r="E706" s="1" t="n"/>
      <c r="F706" s="18" t="n"/>
      <c r="G706" s="18" t="n"/>
      <c r="H706" s="18" t="n"/>
      <c r="I706" s="18" t="n"/>
      <c r="J706" s="18" t="n"/>
    </row>
    <row r="707" ht="12.3" customHeight="1" s="75">
      <c r="A707" s="17" t="n"/>
      <c r="B707" s="1" t="n"/>
      <c r="C707" s="18" t="n"/>
      <c r="D707" s="18" t="n"/>
      <c r="E707" s="1" t="n"/>
      <c r="F707" s="18" t="n"/>
      <c r="G707" s="18" t="n"/>
      <c r="H707" s="18" t="n"/>
      <c r="I707" s="18" t="n"/>
      <c r="J707" s="18" t="n"/>
    </row>
    <row r="708" ht="12.3" customHeight="1" s="75">
      <c r="A708" s="17" t="n"/>
      <c r="B708" s="1" t="n"/>
      <c r="C708" s="18" t="n"/>
      <c r="D708" s="18" t="n"/>
      <c r="E708" s="1" t="n"/>
      <c r="F708" s="18" t="n"/>
      <c r="G708" s="18" t="n"/>
      <c r="H708" s="18" t="n"/>
      <c r="I708" s="18" t="n"/>
      <c r="J708" s="18" t="n"/>
    </row>
    <row r="709" ht="12.3" customHeight="1" s="75">
      <c r="A709" s="17" t="n"/>
      <c r="B709" s="1" t="n"/>
      <c r="C709" s="18" t="n"/>
      <c r="D709" s="18" t="n"/>
      <c r="E709" s="1" t="n"/>
      <c r="F709" s="18" t="n"/>
      <c r="G709" s="18" t="n"/>
      <c r="H709" s="18" t="n"/>
      <c r="I709" s="18" t="n"/>
      <c r="J709" s="18" t="n"/>
    </row>
    <row r="710" ht="12.3" customHeight="1" s="75">
      <c r="A710" s="17" t="n"/>
      <c r="B710" s="1" t="n"/>
      <c r="C710" s="18" t="n"/>
      <c r="D710" s="18" t="n"/>
      <c r="E710" s="1" t="n"/>
      <c r="F710" s="18" t="n"/>
      <c r="G710" s="18" t="n"/>
      <c r="H710" s="18" t="n"/>
      <c r="I710" s="18" t="n"/>
      <c r="J710" s="18" t="n"/>
    </row>
    <row r="711" ht="12.3" customHeight="1" s="75">
      <c r="A711" s="17" t="n"/>
      <c r="B711" s="1" t="n"/>
      <c r="C711" s="18" t="n"/>
      <c r="D711" s="18" t="n"/>
      <c r="E711" s="1" t="n"/>
      <c r="F711" s="18" t="n"/>
      <c r="G711" s="18" t="n"/>
      <c r="H711" s="18" t="n"/>
      <c r="I711" s="18" t="n"/>
      <c r="J711" s="18" t="n"/>
    </row>
    <row r="712" ht="12.3" customHeight="1" s="75">
      <c r="A712" s="17" t="n"/>
      <c r="B712" s="1" t="n"/>
      <c r="C712" s="18" t="n"/>
      <c r="D712" s="18" t="n"/>
      <c r="E712" s="1" t="n"/>
      <c r="F712" s="18" t="n"/>
      <c r="G712" s="18" t="n"/>
      <c r="H712" s="18" t="n"/>
      <c r="I712" s="18" t="n"/>
      <c r="J712" s="18" t="n"/>
    </row>
    <row r="713" ht="12.3" customHeight="1" s="75">
      <c r="A713" s="17" t="n"/>
      <c r="B713" s="1" t="n"/>
      <c r="C713" s="18" t="n"/>
      <c r="D713" s="18" t="n"/>
      <c r="E713" s="1" t="n"/>
      <c r="F713" s="18" t="n"/>
      <c r="G713" s="18" t="n"/>
      <c r="H713" s="18" t="n"/>
      <c r="I713" s="18" t="n"/>
      <c r="J713" s="18" t="n"/>
    </row>
    <row r="714" ht="12.3" customHeight="1" s="75">
      <c r="A714" s="17" t="n"/>
      <c r="B714" s="1" t="n"/>
      <c r="C714" s="18" t="n"/>
      <c r="D714" s="18" t="n"/>
      <c r="E714" s="1" t="n"/>
      <c r="F714" s="18" t="n"/>
      <c r="G714" s="18" t="n"/>
      <c r="H714" s="18" t="n"/>
      <c r="I714" s="18" t="n"/>
      <c r="J714" s="18" t="n"/>
    </row>
    <row r="715" ht="12.3" customHeight="1" s="75">
      <c r="A715" s="17" t="n"/>
      <c r="B715" s="1" t="n"/>
      <c r="C715" s="18" t="n"/>
      <c r="D715" s="18" t="n"/>
      <c r="E715" s="1" t="n"/>
      <c r="F715" s="18" t="n"/>
      <c r="G715" s="18" t="n"/>
      <c r="H715" s="18" t="n"/>
      <c r="I715" s="18" t="n"/>
      <c r="J715" s="18" t="n"/>
    </row>
    <row r="716" ht="12.3" customHeight="1" s="75">
      <c r="A716" s="17" t="n"/>
      <c r="B716" s="1" t="n"/>
      <c r="C716" s="18" t="n"/>
      <c r="D716" s="18" t="n"/>
      <c r="E716" s="1" t="n"/>
      <c r="F716" s="18" t="n"/>
      <c r="G716" s="18" t="n"/>
      <c r="H716" s="18" t="n"/>
      <c r="I716" s="18" t="n"/>
      <c r="J716" s="18" t="n"/>
    </row>
    <row r="717" ht="12.3" customHeight="1" s="75">
      <c r="A717" s="17" t="n"/>
      <c r="B717" s="1" t="n"/>
      <c r="C717" s="18" t="n"/>
      <c r="D717" s="18" t="n"/>
      <c r="E717" s="1" t="n"/>
      <c r="F717" s="18" t="n"/>
      <c r="G717" s="18" t="n"/>
      <c r="H717" s="18" t="n"/>
      <c r="I717" s="18" t="n"/>
      <c r="J717" s="18" t="n"/>
    </row>
    <row r="718" ht="12.3" customHeight="1" s="75">
      <c r="A718" s="17" t="n"/>
      <c r="B718" s="1" t="n"/>
      <c r="C718" s="18" t="n"/>
      <c r="D718" s="18" t="n"/>
      <c r="E718" s="1" t="n"/>
      <c r="F718" s="18" t="n"/>
      <c r="G718" s="18" t="n"/>
      <c r="H718" s="18" t="n"/>
      <c r="I718" s="18" t="n"/>
      <c r="J718" s="18" t="n"/>
    </row>
    <row r="719" ht="12.3" customHeight="1" s="75">
      <c r="A719" s="17" t="n"/>
      <c r="B719" s="1" t="n"/>
      <c r="C719" s="18" t="n"/>
      <c r="D719" s="18" t="n"/>
      <c r="E719" s="1" t="n"/>
      <c r="F719" s="18" t="n"/>
      <c r="G719" s="18" t="n"/>
      <c r="H719" s="18" t="n"/>
      <c r="I719" s="18" t="n"/>
      <c r="J719" s="18" t="n"/>
    </row>
    <row r="720" ht="12.3" customHeight="1" s="75">
      <c r="A720" s="17" t="n"/>
      <c r="B720" s="1" t="n"/>
      <c r="C720" s="18" t="n"/>
      <c r="D720" s="18" t="n"/>
      <c r="E720" s="1" t="n"/>
      <c r="F720" s="18" t="n"/>
      <c r="G720" s="18" t="n"/>
      <c r="H720" s="18" t="n"/>
      <c r="I720" s="18" t="n"/>
      <c r="J720" s="18" t="n"/>
    </row>
    <row r="721" ht="12.3" customHeight="1" s="75">
      <c r="A721" s="17" t="n"/>
      <c r="B721" s="1" t="n"/>
      <c r="C721" s="18" t="n"/>
      <c r="D721" s="18" t="n"/>
      <c r="E721" s="1" t="n"/>
      <c r="F721" s="18" t="n"/>
      <c r="G721" s="18" t="n"/>
      <c r="H721" s="18" t="n"/>
      <c r="I721" s="18" t="n"/>
      <c r="J721" s="18" t="n"/>
    </row>
    <row r="722" ht="12.3" customHeight="1" s="75">
      <c r="A722" s="17" t="n"/>
      <c r="B722" s="1" t="n"/>
      <c r="C722" s="18" t="n"/>
      <c r="D722" s="18" t="n"/>
      <c r="E722" s="1" t="n"/>
      <c r="F722" s="18" t="n"/>
      <c r="G722" s="18" t="n"/>
      <c r="H722" s="18" t="n"/>
      <c r="I722" s="18" t="n"/>
      <c r="J722" s="18" t="n"/>
    </row>
    <row r="723" ht="12.3" customHeight="1" s="75">
      <c r="A723" s="17" t="n"/>
      <c r="B723" s="1" t="n"/>
      <c r="C723" s="18" t="n"/>
      <c r="D723" s="18" t="n"/>
      <c r="E723" s="1" t="n"/>
      <c r="F723" s="18" t="n"/>
      <c r="G723" s="18" t="n"/>
      <c r="H723" s="18" t="n"/>
      <c r="I723" s="18" t="n"/>
      <c r="J723" s="18" t="n"/>
    </row>
    <row r="724" ht="12.3" customHeight="1" s="75">
      <c r="A724" s="17" t="n"/>
      <c r="B724" s="1" t="n"/>
      <c r="C724" s="18" t="n"/>
      <c r="D724" s="18" t="n"/>
      <c r="E724" s="1" t="n"/>
      <c r="F724" s="18" t="n"/>
      <c r="G724" s="18" t="n"/>
      <c r="H724" s="18" t="n"/>
      <c r="I724" s="18" t="n"/>
      <c r="J724" s="18" t="n"/>
    </row>
    <row r="725" ht="12.3" customHeight="1" s="75">
      <c r="A725" s="17" t="n"/>
      <c r="B725" s="1" t="n"/>
      <c r="C725" s="18" t="n"/>
      <c r="D725" s="18" t="n"/>
      <c r="E725" s="1" t="n"/>
      <c r="F725" s="18" t="n"/>
      <c r="G725" s="18" t="n"/>
      <c r="H725" s="18" t="n"/>
      <c r="I725" s="18" t="n"/>
      <c r="J725" s="18" t="n"/>
    </row>
    <row r="726" ht="12.3" customHeight="1" s="75">
      <c r="A726" s="17" t="n"/>
      <c r="B726" s="1" t="n"/>
      <c r="C726" s="18" t="n"/>
      <c r="D726" s="18" t="n"/>
      <c r="E726" s="1" t="n"/>
      <c r="F726" s="18" t="n"/>
      <c r="G726" s="18" t="n"/>
      <c r="H726" s="18" t="n"/>
      <c r="I726" s="18" t="n"/>
      <c r="J726" s="18" t="n"/>
    </row>
    <row r="727" ht="12.3" customHeight="1" s="75">
      <c r="A727" s="17" t="n"/>
      <c r="B727" s="1" t="n"/>
      <c r="C727" s="18" t="n"/>
      <c r="D727" s="18" t="n"/>
      <c r="E727" s="1" t="n"/>
      <c r="F727" s="18" t="n"/>
      <c r="G727" s="18" t="n"/>
      <c r="H727" s="18" t="n"/>
      <c r="I727" s="18" t="n"/>
      <c r="J727" s="18" t="n"/>
    </row>
    <row r="728" ht="12.3" customHeight="1" s="75">
      <c r="A728" s="17" t="n"/>
      <c r="B728" s="1" t="n"/>
      <c r="C728" s="18" t="n"/>
      <c r="D728" s="18" t="n"/>
      <c r="E728" s="1" t="n"/>
      <c r="F728" s="18" t="n"/>
      <c r="G728" s="18" t="n"/>
      <c r="H728" s="18" t="n"/>
      <c r="I728" s="18" t="n"/>
      <c r="J728" s="18" t="n"/>
    </row>
    <row r="729" ht="12.3" customHeight="1" s="75">
      <c r="A729" s="17" t="n"/>
      <c r="B729" s="1" t="n"/>
      <c r="C729" s="18" t="n"/>
      <c r="D729" s="18" t="n"/>
      <c r="E729" s="1" t="n"/>
      <c r="F729" s="18" t="n"/>
      <c r="G729" s="18" t="n"/>
      <c r="H729" s="18" t="n"/>
      <c r="I729" s="18" t="n"/>
      <c r="J729" s="18" t="n"/>
    </row>
    <row r="730" ht="12.3" customHeight="1" s="75">
      <c r="A730" s="17" t="n"/>
      <c r="B730" s="1" t="n"/>
      <c r="C730" s="18" t="n"/>
      <c r="D730" s="18" t="n"/>
      <c r="E730" s="1" t="n"/>
      <c r="F730" s="18" t="n"/>
      <c r="G730" s="18" t="n"/>
      <c r="H730" s="18" t="n"/>
      <c r="I730" s="18" t="n"/>
      <c r="J730" s="18" t="n"/>
    </row>
    <row r="731" ht="12.3" customHeight="1" s="75">
      <c r="A731" s="17" t="n"/>
      <c r="B731" s="1" t="n"/>
      <c r="C731" s="18" t="n"/>
      <c r="D731" s="18" t="n"/>
      <c r="E731" s="1" t="n"/>
      <c r="F731" s="18" t="n"/>
      <c r="G731" s="18" t="n"/>
      <c r="H731" s="18" t="n"/>
      <c r="I731" s="18" t="n"/>
      <c r="J731" s="18" t="n"/>
    </row>
    <row r="732" ht="12.3" customHeight="1" s="75">
      <c r="A732" s="17" t="n"/>
      <c r="B732" s="1" t="n"/>
      <c r="C732" s="18" t="n"/>
      <c r="D732" s="18" t="n"/>
      <c r="E732" s="1" t="n"/>
      <c r="F732" s="18" t="n"/>
      <c r="G732" s="18" t="n"/>
      <c r="H732" s="18" t="n"/>
      <c r="I732" s="18" t="n"/>
      <c r="J732" s="18" t="n"/>
    </row>
    <row r="733" ht="12.3" customHeight="1" s="75">
      <c r="A733" s="17" t="n"/>
      <c r="B733" s="1" t="n"/>
      <c r="C733" s="18" t="n"/>
      <c r="D733" s="18" t="n"/>
      <c r="E733" s="1" t="n"/>
      <c r="F733" s="18" t="n"/>
      <c r="G733" s="18" t="n"/>
      <c r="H733" s="18" t="n"/>
      <c r="I733" s="18" t="n"/>
      <c r="J733" s="18" t="n"/>
    </row>
    <row r="734" ht="12.3" customHeight="1" s="75">
      <c r="A734" s="17" t="n"/>
      <c r="B734" s="1" t="n"/>
      <c r="C734" s="18" t="n"/>
      <c r="D734" s="18" t="n"/>
      <c r="E734" s="1" t="n"/>
      <c r="F734" s="18" t="n"/>
      <c r="G734" s="18" t="n"/>
      <c r="H734" s="18" t="n"/>
      <c r="I734" s="18" t="n"/>
      <c r="J734" s="18" t="n"/>
    </row>
    <row r="735" ht="12.3" customHeight="1" s="75">
      <c r="A735" s="17" t="n"/>
      <c r="B735" s="1" t="n"/>
      <c r="C735" s="18" t="n"/>
      <c r="D735" s="18" t="n"/>
      <c r="E735" s="1" t="n"/>
      <c r="F735" s="18" t="n"/>
      <c r="G735" s="18" t="n"/>
      <c r="H735" s="18" t="n"/>
      <c r="I735" s="18" t="n"/>
      <c r="J735" s="18" t="n"/>
    </row>
    <row r="736" ht="12.3" customHeight="1" s="75">
      <c r="A736" s="17" t="n"/>
      <c r="B736" s="1" t="n"/>
      <c r="C736" s="18" t="n"/>
      <c r="D736" s="18" t="n"/>
      <c r="E736" s="1" t="n"/>
      <c r="F736" s="18" t="n"/>
      <c r="G736" s="18" t="n"/>
      <c r="H736" s="18" t="n"/>
      <c r="I736" s="18" t="n"/>
      <c r="J736" s="18" t="n"/>
    </row>
    <row r="737" ht="12.3" customHeight="1" s="75">
      <c r="A737" s="17" t="n"/>
      <c r="B737" s="1" t="n"/>
      <c r="C737" s="18" t="n"/>
      <c r="D737" s="18" t="n"/>
      <c r="E737" s="1" t="n"/>
      <c r="F737" s="18" t="n"/>
      <c r="G737" s="18" t="n"/>
      <c r="H737" s="18" t="n"/>
      <c r="I737" s="18" t="n"/>
      <c r="J737" s="18" t="n"/>
    </row>
    <row r="738" ht="12.3" customHeight="1" s="75">
      <c r="A738" s="17" t="n"/>
      <c r="B738" s="1" t="n"/>
      <c r="C738" s="18" t="n"/>
      <c r="D738" s="18" t="n"/>
      <c r="E738" s="1" t="n"/>
      <c r="F738" s="18" t="n"/>
      <c r="G738" s="18" t="n"/>
      <c r="H738" s="18" t="n"/>
      <c r="I738" s="18" t="n"/>
      <c r="J738" s="18" t="n"/>
    </row>
    <row r="739" ht="12.3" customHeight="1" s="75">
      <c r="A739" s="17" t="n"/>
      <c r="B739" s="1" t="n"/>
      <c r="C739" s="18" t="n"/>
      <c r="D739" s="18" t="n"/>
      <c r="E739" s="1" t="n"/>
      <c r="F739" s="18" t="n"/>
      <c r="G739" s="18" t="n"/>
      <c r="H739" s="18" t="n"/>
      <c r="I739" s="18" t="n"/>
      <c r="J739" s="18" t="n"/>
    </row>
    <row r="740" ht="12.3" customHeight="1" s="75">
      <c r="A740" s="17" t="n"/>
      <c r="B740" s="1" t="n"/>
      <c r="C740" s="18" t="n"/>
      <c r="D740" s="18" t="n"/>
      <c r="E740" s="1" t="n"/>
      <c r="F740" s="18" t="n"/>
      <c r="G740" s="18" t="n"/>
      <c r="H740" s="18" t="n"/>
      <c r="I740" s="18" t="n"/>
      <c r="J740" s="18" t="n"/>
    </row>
    <row r="741" ht="12.3" customHeight="1" s="75">
      <c r="A741" s="17" t="n"/>
      <c r="B741" s="1" t="n"/>
      <c r="C741" s="18" t="n"/>
      <c r="D741" s="18" t="n"/>
      <c r="E741" s="1" t="n"/>
      <c r="F741" s="18" t="n"/>
      <c r="G741" s="18" t="n"/>
      <c r="H741" s="18" t="n"/>
      <c r="I741" s="18" t="n"/>
      <c r="J741" s="18" t="n"/>
    </row>
    <row r="742" ht="12.3" customHeight="1" s="75">
      <c r="A742" s="17" t="n"/>
      <c r="B742" s="1" t="n"/>
      <c r="C742" s="18" t="n"/>
      <c r="D742" s="18" t="n"/>
      <c r="E742" s="1" t="n"/>
      <c r="F742" s="18" t="n"/>
      <c r="G742" s="18" t="n"/>
      <c r="H742" s="18" t="n"/>
      <c r="I742" s="18" t="n"/>
      <c r="J742" s="18" t="n"/>
    </row>
    <row r="743" ht="12.3" customHeight="1" s="75">
      <c r="A743" s="17" t="n"/>
      <c r="B743" s="1" t="n"/>
      <c r="C743" s="18" t="n"/>
      <c r="D743" s="18" t="n"/>
      <c r="E743" s="1" t="n"/>
      <c r="F743" s="18" t="n"/>
      <c r="G743" s="18" t="n"/>
      <c r="H743" s="18" t="n"/>
      <c r="I743" s="18" t="n"/>
      <c r="J743" s="18" t="n"/>
    </row>
    <row r="744" ht="12.3" customHeight="1" s="75">
      <c r="A744" s="17" t="n"/>
      <c r="B744" s="1" t="n"/>
      <c r="C744" s="18" t="n"/>
      <c r="D744" s="18" t="n"/>
      <c r="E744" s="1" t="n"/>
      <c r="F744" s="18" t="n"/>
      <c r="G744" s="18" t="n"/>
      <c r="H744" s="18" t="n"/>
      <c r="I744" s="18" t="n"/>
      <c r="J744" s="18" t="n"/>
    </row>
    <row r="745" ht="12.3" customHeight="1" s="75">
      <c r="A745" s="17" t="n"/>
      <c r="B745" s="1" t="n"/>
      <c r="C745" s="18" t="n"/>
      <c r="D745" s="18" t="n"/>
      <c r="E745" s="1" t="n"/>
      <c r="F745" s="18" t="n"/>
      <c r="G745" s="18" t="n"/>
      <c r="H745" s="18" t="n"/>
      <c r="I745" s="18" t="n"/>
      <c r="J745" s="18" t="n"/>
    </row>
    <row r="746" ht="12.3" customHeight="1" s="75">
      <c r="A746" s="17" t="n"/>
      <c r="B746" s="1" t="n"/>
      <c r="C746" s="18" t="n"/>
      <c r="D746" s="18" t="n"/>
      <c r="E746" s="1" t="n"/>
      <c r="F746" s="18" t="n"/>
      <c r="G746" s="18" t="n"/>
      <c r="H746" s="18" t="n"/>
      <c r="I746" s="18" t="n"/>
      <c r="J746" s="18" t="n"/>
    </row>
    <row r="747" ht="12.3" customHeight="1" s="75">
      <c r="A747" s="17" t="n"/>
      <c r="B747" s="1" t="n"/>
      <c r="C747" s="18" t="n"/>
      <c r="D747" s="18" t="n"/>
      <c r="E747" s="1" t="n"/>
      <c r="F747" s="18" t="n"/>
      <c r="G747" s="18" t="n"/>
      <c r="H747" s="18" t="n"/>
      <c r="I747" s="18" t="n"/>
      <c r="J747" s="18" t="n"/>
    </row>
    <row r="748" ht="12.3" customHeight="1" s="75">
      <c r="A748" s="17" t="n"/>
      <c r="B748" s="1" t="n"/>
      <c r="C748" s="18" t="n"/>
      <c r="D748" s="18" t="n"/>
      <c r="E748" s="1" t="n"/>
      <c r="F748" s="18" t="n"/>
      <c r="G748" s="18" t="n"/>
      <c r="H748" s="18" t="n"/>
      <c r="I748" s="18" t="n"/>
      <c r="J748" s="18" t="n"/>
    </row>
    <row r="749" ht="12.3" customHeight="1" s="75">
      <c r="A749" s="17" t="n"/>
      <c r="B749" s="1" t="n"/>
      <c r="C749" s="18" t="n"/>
      <c r="D749" s="18" t="n"/>
      <c r="E749" s="1" t="n"/>
      <c r="F749" s="18" t="n"/>
      <c r="G749" s="18" t="n"/>
      <c r="H749" s="18" t="n"/>
      <c r="I749" s="18" t="n"/>
      <c r="J749" s="18" t="n"/>
    </row>
    <row r="750" ht="12.3" customHeight="1" s="75">
      <c r="A750" s="17" t="n"/>
      <c r="B750" s="1" t="n"/>
      <c r="C750" s="18" t="n"/>
      <c r="D750" s="18" t="n"/>
      <c r="E750" s="1" t="n"/>
      <c r="F750" s="18" t="n"/>
      <c r="G750" s="18" t="n"/>
      <c r="H750" s="18" t="n"/>
      <c r="I750" s="18" t="n"/>
      <c r="J750" s="18" t="n"/>
    </row>
    <row r="751" ht="12.3" customHeight="1" s="75">
      <c r="A751" s="17" t="n"/>
      <c r="B751" s="1" t="n"/>
      <c r="C751" s="18" t="n"/>
      <c r="D751" s="18" t="n"/>
      <c r="E751" s="1" t="n"/>
      <c r="F751" s="18" t="n"/>
      <c r="G751" s="18" t="n"/>
      <c r="H751" s="18" t="n"/>
      <c r="I751" s="18" t="n"/>
      <c r="J751" s="18" t="n"/>
    </row>
    <row r="752" ht="12.3" customHeight="1" s="75">
      <c r="A752" s="17" t="n"/>
      <c r="B752" s="1" t="n"/>
      <c r="C752" s="18" t="n"/>
      <c r="D752" s="18" t="n"/>
      <c r="E752" s="1" t="n"/>
      <c r="F752" s="18" t="n"/>
      <c r="G752" s="18" t="n"/>
      <c r="H752" s="18" t="n"/>
      <c r="I752" s="18" t="n"/>
      <c r="J752" s="18" t="n"/>
    </row>
    <row r="753" ht="12.3" customHeight="1" s="75">
      <c r="A753" s="17" t="n"/>
      <c r="B753" s="1" t="n"/>
      <c r="C753" s="18" t="n"/>
      <c r="D753" s="18" t="n"/>
      <c r="E753" s="1" t="n"/>
      <c r="F753" s="18" t="n"/>
      <c r="G753" s="18" t="n"/>
      <c r="H753" s="18" t="n"/>
      <c r="I753" s="18" t="n"/>
      <c r="J753" s="18" t="n"/>
    </row>
    <row r="754" ht="12.3" customHeight="1" s="75">
      <c r="A754" s="17" t="n"/>
      <c r="B754" s="1" t="n"/>
      <c r="C754" s="18" t="n"/>
      <c r="D754" s="18" t="n"/>
      <c r="E754" s="1" t="n"/>
      <c r="F754" s="18" t="n"/>
      <c r="G754" s="18" t="n"/>
      <c r="H754" s="18" t="n"/>
      <c r="I754" s="18" t="n"/>
      <c r="J754" s="18" t="n"/>
    </row>
    <row r="755" ht="12.3" customHeight="1" s="75">
      <c r="A755" s="17" t="n"/>
      <c r="B755" s="1" t="n"/>
      <c r="C755" s="18" t="n"/>
      <c r="D755" s="18" t="n"/>
      <c r="E755" s="1" t="n"/>
      <c r="F755" s="18" t="n"/>
      <c r="G755" s="18" t="n"/>
      <c r="H755" s="18" t="n"/>
      <c r="I755" s="18" t="n"/>
      <c r="J755" s="18" t="n"/>
    </row>
    <row r="756" ht="12.3" customHeight="1" s="75">
      <c r="A756" s="17" t="n"/>
      <c r="B756" s="1" t="n"/>
      <c r="C756" s="18" t="n"/>
      <c r="D756" s="18" t="n"/>
      <c r="E756" s="1" t="n"/>
      <c r="F756" s="18" t="n"/>
      <c r="G756" s="18" t="n"/>
      <c r="H756" s="18" t="n"/>
      <c r="I756" s="18" t="n"/>
      <c r="J756" s="18" t="n"/>
    </row>
    <row r="757" ht="12.3" customHeight="1" s="75">
      <c r="A757" s="17" t="n"/>
      <c r="B757" s="1" t="n"/>
      <c r="C757" s="18" t="n"/>
      <c r="D757" s="18" t="n"/>
      <c r="E757" s="1" t="n"/>
      <c r="F757" s="18" t="n"/>
      <c r="G757" s="18" t="n"/>
      <c r="H757" s="18" t="n"/>
      <c r="I757" s="18" t="n"/>
      <c r="J757" s="18" t="n"/>
    </row>
    <row r="758" ht="12.3" customHeight="1" s="75">
      <c r="A758" s="17" t="n"/>
      <c r="B758" s="1" t="n"/>
      <c r="C758" s="18" t="n"/>
      <c r="D758" s="18" t="n"/>
      <c r="E758" s="1" t="n"/>
      <c r="F758" s="18" t="n"/>
      <c r="G758" s="18" t="n"/>
      <c r="H758" s="18" t="n"/>
      <c r="I758" s="18" t="n"/>
      <c r="J758" s="18" t="n"/>
    </row>
    <row r="759" ht="12.3" customHeight="1" s="75">
      <c r="A759" s="17" t="n"/>
      <c r="B759" s="1" t="n"/>
      <c r="C759" s="18" t="n"/>
      <c r="D759" s="18" t="n"/>
      <c r="E759" s="1" t="n"/>
      <c r="F759" s="18" t="n"/>
      <c r="G759" s="18" t="n"/>
      <c r="H759" s="18" t="n"/>
      <c r="I759" s="18" t="n"/>
      <c r="J759" s="18" t="n"/>
    </row>
    <row r="760" ht="12.3" customHeight="1" s="75">
      <c r="A760" s="17" t="n"/>
      <c r="B760" s="1" t="n"/>
      <c r="C760" s="18" t="n"/>
      <c r="D760" s="18" t="n"/>
      <c r="E760" s="1" t="n"/>
      <c r="F760" s="18" t="n"/>
      <c r="G760" s="18" t="n"/>
      <c r="H760" s="18" t="n"/>
      <c r="I760" s="18" t="n"/>
      <c r="J760" s="18" t="n"/>
    </row>
    <row r="761" ht="12.3" customHeight="1" s="75">
      <c r="A761" s="17" t="n"/>
      <c r="B761" s="1" t="n"/>
      <c r="C761" s="18" t="n"/>
      <c r="D761" s="18" t="n"/>
      <c r="E761" s="1" t="n"/>
      <c r="F761" s="18" t="n"/>
      <c r="G761" s="18" t="n"/>
      <c r="H761" s="18" t="n"/>
      <c r="I761" s="18" t="n"/>
      <c r="J761" s="18" t="n"/>
    </row>
    <row r="762" ht="12.3" customHeight="1" s="75">
      <c r="A762" s="17" t="n"/>
      <c r="B762" s="1" t="n"/>
      <c r="C762" s="18" t="n"/>
      <c r="D762" s="18" t="n"/>
      <c r="E762" s="1" t="n"/>
      <c r="F762" s="18" t="n"/>
      <c r="G762" s="18" t="n"/>
      <c r="H762" s="18" t="n"/>
      <c r="I762" s="18" t="n"/>
      <c r="J762" s="18" t="n"/>
    </row>
    <row r="763" ht="12.3" customHeight="1" s="75">
      <c r="A763" s="17" t="n"/>
      <c r="B763" s="1" t="n"/>
      <c r="C763" s="18" t="n"/>
      <c r="D763" s="18" t="n"/>
      <c r="E763" s="1" t="n"/>
      <c r="F763" s="18" t="n"/>
      <c r="G763" s="18" t="n"/>
      <c r="H763" s="18" t="n"/>
      <c r="I763" s="18" t="n"/>
      <c r="J763" s="18" t="n"/>
    </row>
    <row r="764" ht="12.3" customHeight="1" s="75">
      <c r="A764" s="17" t="n"/>
      <c r="B764" s="1" t="n"/>
      <c r="C764" s="18" t="n"/>
      <c r="D764" s="18" t="n"/>
      <c r="E764" s="1" t="n"/>
      <c r="F764" s="18" t="n"/>
      <c r="G764" s="18" t="n"/>
      <c r="H764" s="18" t="n"/>
      <c r="I764" s="18" t="n"/>
      <c r="J764" s="18" t="n"/>
    </row>
    <row r="765" ht="12.3" customHeight="1" s="75">
      <c r="A765" s="17" t="n"/>
      <c r="B765" s="1" t="n"/>
      <c r="C765" s="18" t="n"/>
      <c r="D765" s="18" t="n"/>
      <c r="E765" s="1" t="n"/>
      <c r="F765" s="18" t="n"/>
      <c r="G765" s="18" t="n"/>
      <c r="H765" s="18" t="n"/>
      <c r="I765" s="18" t="n"/>
      <c r="J765" s="18" t="n"/>
    </row>
    <row r="766" ht="12.3" customHeight="1" s="75">
      <c r="A766" s="17" t="n"/>
      <c r="B766" s="1" t="n"/>
      <c r="C766" s="18" t="n"/>
      <c r="D766" s="18" t="n"/>
      <c r="E766" s="1" t="n"/>
      <c r="F766" s="18" t="n"/>
      <c r="G766" s="18" t="n"/>
      <c r="H766" s="18" t="n"/>
      <c r="I766" s="18" t="n"/>
      <c r="J766" s="18" t="n"/>
    </row>
    <row r="767" ht="12.3" customHeight="1" s="75">
      <c r="A767" s="17" t="n"/>
      <c r="B767" s="1" t="n"/>
      <c r="C767" s="18" t="n"/>
      <c r="D767" s="18" t="n"/>
      <c r="E767" s="1" t="n"/>
      <c r="F767" s="18" t="n"/>
      <c r="G767" s="18" t="n"/>
      <c r="H767" s="18" t="n"/>
      <c r="I767" s="18" t="n"/>
      <c r="J767" s="18" t="n"/>
    </row>
    <row r="768" ht="12.3" customHeight="1" s="75">
      <c r="A768" s="17" t="n"/>
      <c r="B768" s="1" t="n"/>
      <c r="C768" s="18" t="n"/>
      <c r="D768" s="18" t="n"/>
      <c r="E768" s="1" t="n"/>
      <c r="F768" s="18" t="n"/>
      <c r="G768" s="18" t="n"/>
      <c r="H768" s="18" t="n"/>
      <c r="I768" s="18" t="n"/>
      <c r="J768" s="18" t="n"/>
    </row>
    <row r="769" ht="12.3" customHeight="1" s="75">
      <c r="A769" s="17" t="n"/>
      <c r="B769" s="1" t="n"/>
      <c r="C769" s="18" t="n"/>
      <c r="D769" s="18" t="n"/>
      <c r="E769" s="1" t="n"/>
      <c r="F769" s="18" t="n"/>
      <c r="G769" s="18" t="n"/>
      <c r="H769" s="18" t="n"/>
      <c r="I769" s="18" t="n"/>
      <c r="J769" s="18" t="n"/>
    </row>
    <row r="770" ht="12.3" customHeight="1" s="75">
      <c r="A770" s="17" t="n"/>
      <c r="B770" s="1" t="n"/>
      <c r="C770" s="18" t="n"/>
      <c r="D770" s="18" t="n"/>
      <c r="E770" s="1" t="n"/>
      <c r="F770" s="18" t="n"/>
      <c r="G770" s="18" t="n"/>
      <c r="H770" s="18" t="n"/>
      <c r="I770" s="18" t="n"/>
      <c r="J770" s="18" t="n"/>
    </row>
    <row r="771" ht="12.3" customHeight="1" s="75">
      <c r="A771" s="17" t="n"/>
      <c r="B771" s="1" t="n"/>
      <c r="C771" s="18" t="n"/>
      <c r="D771" s="18" t="n"/>
      <c r="E771" s="1" t="n"/>
      <c r="F771" s="18" t="n"/>
      <c r="G771" s="18" t="n"/>
      <c r="H771" s="18" t="n"/>
      <c r="I771" s="18" t="n"/>
      <c r="J771" s="18" t="n"/>
    </row>
    <row r="772" ht="12.3" customHeight="1" s="75">
      <c r="A772" s="17" t="n"/>
      <c r="B772" s="1" t="n"/>
      <c r="C772" s="18" t="n"/>
      <c r="D772" s="18" t="n"/>
      <c r="E772" s="1" t="n"/>
      <c r="F772" s="18" t="n"/>
      <c r="G772" s="18" t="n"/>
      <c r="H772" s="18" t="n"/>
      <c r="I772" s="18" t="n"/>
      <c r="J772" s="18" t="n"/>
    </row>
    <row r="773" ht="12.3" customHeight="1" s="75">
      <c r="A773" s="17" t="n"/>
      <c r="B773" s="1" t="n"/>
      <c r="C773" s="18" t="n"/>
      <c r="D773" s="18" t="n"/>
      <c r="E773" s="1" t="n"/>
      <c r="F773" s="18" t="n"/>
      <c r="G773" s="18" t="n"/>
      <c r="H773" s="18" t="n"/>
      <c r="I773" s="18" t="n"/>
      <c r="J773" s="18" t="n"/>
    </row>
    <row r="774" ht="12.3" customHeight="1" s="75">
      <c r="A774" s="17" t="n"/>
      <c r="B774" s="1" t="n"/>
      <c r="C774" s="18" t="n"/>
      <c r="D774" s="18" t="n"/>
      <c r="E774" s="1" t="n"/>
      <c r="F774" s="18" t="n"/>
      <c r="G774" s="18" t="n"/>
      <c r="H774" s="18" t="n"/>
      <c r="I774" s="18" t="n"/>
      <c r="J774" s="18" t="n"/>
    </row>
    <row r="775" ht="12.3" customHeight="1" s="75">
      <c r="A775" s="17" t="n"/>
      <c r="B775" s="1" t="n"/>
      <c r="C775" s="18" t="n"/>
      <c r="D775" s="18" t="n"/>
      <c r="E775" s="1" t="n"/>
      <c r="F775" s="18" t="n"/>
      <c r="G775" s="18" t="n"/>
      <c r="H775" s="18" t="n"/>
      <c r="I775" s="18" t="n"/>
      <c r="J775" s="18" t="n"/>
    </row>
    <row r="776" ht="12.3" customHeight="1" s="75">
      <c r="A776" s="17" t="n"/>
      <c r="B776" s="1" t="n"/>
      <c r="C776" s="18" t="n"/>
      <c r="D776" s="18" t="n"/>
      <c r="E776" s="1" t="n"/>
      <c r="F776" s="18" t="n"/>
      <c r="G776" s="18" t="n"/>
      <c r="H776" s="18" t="n"/>
      <c r="I776" s="18" t="n"/>
      <c r="J776" s="18" t="n"/>
    </row>
    <row r="777" ht="12.3" customHeight="1" s="75">
      <c r="A777" s="17" t="n"/>
      <c r="B777" s="1" t="n"/>
      <c r="C777" s="18" t="n"/>
      <c r="D777" s="18" t="n"/>
      <c r="E777" s="1" t="n"/>
      <c r="F777" s="18" t="n"/>
      <c r="G777" s="18" t="n"/>
      <c r="H777" s="18" t="n"/>
      <c r="I777" s="18" t="n"/>
      <c r="J777" s="18" t="n"/>
    </row>
    <row r="778" ht="12.3" customHeight="1" s="75">
      <c r="A778" s="17" t="n"/>
      <c r="B778" s="1" t="n"/>
      <c r="C778" s="18" t="n"/>
      <c r="D778" s="18" t="n"/>
      <c r="E778" s="1" t="n"/>
      <c r="F778" s="18" t="n"/>
      <c r="G778" s="18" t="n"/>
      <c r="H778" s="18" t="n"/>
      <c r="I778" s="18" t="n"/>
      <c r="J778" s="18" t="n"/>
    </row>
    <row r="779" ht="12.3" customHeight="1" s="75">
      <c r="A779" s="17" t="n"/>
      <c r="B779" s="1" t="n"/>
      <c r="C779" s="18" t="n"/>
      <c r="D779" s="18" t="n"/>
      <c r="E779" s="1" t="n"/>
      <c r="F779" s="18" t="n"/>
      <c r="G779" s="18" t="n"/>
      <c r="H779" s="18" t="n"/>
      <c r="I779" s="18" t="n"/>
      <c r="J779" s="18" t="n"/>
    </row>
    <row r="780" ht="12.3" customHeight="1" s="75">
      <c r="A780" s="17" t="n"/>
      <c r="B780" s="1" t="n"/>
      <c r="C780" s="18" t="n"/>
      <c r="D780" s="18" t="n"/>
      <c r="E780" s="1" t="n"/>
      <c r="F780" s="18" t="n"/>
      <c r="G780" s="18" t="n"/>
      <c r="H780" s="18" t="n"/>
      <c r="I780" s="18" t="n"/>
      <c r="J780" s="18" t="n"/>
    </row>
    <row r="781" ht="12.3" customHeight="1" s="75">
      <c r="A781" s="17" t="n"/>
      <c r="B781" s="1" t="n"/>
      <c r="C781" s="18" t="n"/>
      <c r="D781" s="18" t="n"/>
      <c r="E781" s="1" t="n"/>
      <c r="F781" s="18" t="n"/>
      <c r="G781" s="18" t="n"/>
      <c r="H781" s="18" t="n"/>
      <c r="I781" s="18" t="n"/>
      <c r="J781" s="18" t="n"/>
    </row>
    <row r="782" ht="12.3" customHeight="1" s="75">
      <c r="A782" s="17" t="n"/>
      <c r="B782" s="1" t="n"/>
      <c r="C782" s="18" t="n"/>
      <c r="D782" s="18" t="n"/>
      <c r="E782" s="1" t="n"/>
      <c r="F782" s="18" t="n"/>
      <c r="G782" s="18" t="n"/>
      <c r="H782" s="18" t="n"/>
      <c r="I782" s="18" t="n"/>
      <c r="J782" s="18" t="n"/>
    </row>
    <row r="783" ht="12.3" customHeight="1" s="75">
      <c r="A783" s="17" t="n"/>
      <c r="B783" s="1" t="n"/>
      <c r="C783" s="18" t="n"/>
      <c r="D783" s="18" t="n"/>
      <c r="E783" s="1" t="n"/>
      <c r="F783" s="18" t="n"/>
      <c r="G783" s="18" t="n"/>
      <c r="H783" s="18" t="n"/>
      <c r="I783" s="18" t="n"/>
      <c r="J783" s="18" t="n"/>
    </row>
    <row r="784" ht="12.3" customHeight="1" s="75">
      <c r="A784" s="17" t="n"/>
      <c r="B784" s="1" t="n"/>
      <c r="C784" s="18" t="n"/>
      <c r="D784" s="18" t="n"/>
      <c r="E784" s="1" t="n"/>
      <c r="F784" s="18" t="n"/>
      <c r="G784" s="18" t="n"/>
      <c r="H784" s="18" t="n"/>
      <c r="I784" s="18" t="n"/>
      <c r="J784" s="18" t="n"/>
    </row>
    <row r="785" ht="12.3" customHeight="1" s="75">
      <c r="A785" s="17" t="n"/>
      <c r="B785" s="1" t="n"/>
      <c r="C785" s="18" t="n"/>
      <c r="D785" s="18" t="n"/>
      <c r="E785" s="1" t="n"/>
      <c r="F785" s="18" t="n"/>
      <c r="G785" s="18" t="n"/>
      <c r="H785" s="18" t="n"/>
      <c r="I785" s="18" t="n"/>
      <c r="J785" s="18" t="n"/>
    </row>
    <row r="786" ht="12.3" customHeight="1" s="75">
      <c r="A786" s="17" t="n"/>
      <c r="B786" s="1" t="n"/>
      <c r="C786" s="18" t="n"/>
      <c r="D786" s="18" t="n"/>
      <c r="E786" s="1" t="n"/>
      <c r="F786" s="18" t="n"/>
      <c r="G786" s="18" t="n"/>
      <c r="H786" s="18" t="n"/>
      <c r="I786" s="18" t="n"/>
      <c r="J786" s="18" t="n"/>
    </row>
    <row r="787" ht="12.3" customHeight="1" s="75">
      <c r="A787" s="17" t="n"/>
      <c r="B787" s="1" t="n"/>
      <c r="C787" s="18" t="n"/>
      <c r="D787" s="18" t="n"/>
      <c r="E787" s="1" t="n"/>
      <c r="F787" s="18" t="n"/>
      <c r="G787" s="18" t="n"/>
      <c r="H787" s="18" t="n"/>
      <c r="I787" s="18" t="n"/>
      <c r="J787" s="18" t="n"/>
    </row>
    <row r="788" ht="12.3" customHeight="1" s="75">
      <c r="A788" s="17" t="n"/>
      <c r="B788" s="1" t="n"/>
      <c r="C788" s="18" t="n"/>
      <c r="D788" s="18" t="n"/>
      <c r="E788" s="1" t="n"/>
      <c r="F788" s="18" t="n"/>
      <c r="G788" s="18" t="n"/>
      <c r="H788" s="18" t="n"/>
      <c r="I788" s="18" t="n"/>
      <c r="J788" s="18" t="n"/>
    </row>
    <row r="789" ht="12.3" customHeight="1" s="75">
      <c r="A789" s="17" t="n"/>
      <c r="B789" s="1" t="n"/>
      <c r="C789" s="18" t="n"/>
      <c r="D789" s="18" t="n"/>
      <c r="E789" s="1" t="n"/>
      <c r="F789" s="18" t="n"/>
      <c r="G789" s="18" t="n"/>
      <c r="H789" s="18" t="n"/>
      <c r="I789" s="18" t="n"/>
      <c r="J789" s="18" t="n"/>
    </row>
    <row r="790" ht="12.3" customHeight="1" s="75">
      <c r="A790" s="17" t="n"/>
      <c r="B790" s="1" t="n"/>
      <c r="C790" s="18" t="n"/>
      <c r="D790" s="18" t="n"/>
      <c r="E790" s="1" t="n"/>
      <c r="F790" s="18" t="n"/>
      <c r="G790" s="18" t="n"/>
      <c r="H790" s="18" t="n"/>
      <c r="I790" s="18" t="n"/>
      <c r="J790" s="18" t="n"/>
    </row>
    <row r="791" ht="12.3" customHeight="1" s="75">
      <c r="A791" s="17" t="n"/>
      <c r="B791" s="1" t="n"/>
      <c r="C791" s="18" t="n"/>
      <c r="D791" s="18" t="n"/>
      <c r="E791" s="1" t="n"/>
      <c r="F791" s="18" t="n"/>
      <c r="G791" s="18" t="n"/>
      <c r="H791" s="18" t="n"/>
      <c r="I791" s="18" t="n"/>
      <c r="J791" s="18" t="n"/>
    </row>
    <row r="792" ht="12.3" customHeight="1" s="75">
      <c r="A792" s="17" t="n"/>
      <c r="B792" s="1" t="n"/>
      <c r="C792" s="18" t="n"/>
      <c r="D792" s="18" t="n"/>
      <c r="E792" s="1" t="n"/>
      <c r="F792" s="18" t="n"/>
      <c r="G792" s="18" t="n"/>
      <c r="H792" s="18" t="n"/>
      <c r="I792" s="18" t="n"/>
      <c r="J792" s="18" t="n"/>
    </row>
    <row r="793" ht="12.3" customHeight="1" s="75">
      <c r="A793" s="17" t="n"/>
      <c r="B793" s="1" t="n"/>
      <c r="C793" s="18" t="n"/>
      <c r="D793" s="18" t="n"/>
      <c r="E793" s="1" t="n"/>
      <c r="F793" s="18" t="n"/>
      <c r="G793" s="18" t="n"/>
      <c r="H793" s="18" t="n"/>
      <c r="I793" s="18" t="n"/>
      <c r="J793" s="18" t="n"/>
    </row>
    <row r="794" ht="12.3" customHeight="1" s="75">
      <c r="A794" s="17" t="n"/>
      <c r="B794" s="1" t="n"/>
      <c r="C794" s="18" t="n"/>
      <c r="D794" s="18" t="n"/>
      <c r="E794" s="1" t="n"/>
      <c r="F794" s="18" t="n"/>
      <c r="G794" s="18" t="n"/>
      <c r="H794" s="18" t="n"/>
      <c r="I794" s="18" t="n"/>
      <c r="J794" s="18" t="n"/>
    </row>
    <row r="795" ht="12.3" customHeight="1" s="75">
      <c r="A795" s="17" t="n"/>
      <c r="B795" s="1" t="n"/>
      <c r="C795" s="18" t="n"/>
      <c r="D795" s="18" t="n"/>
      <c r="E795" s="1" t="n"/>
      <c r="F795" s="18" t="n"/>
      <c r="G795" s="18" t="n"/>
      <c r="H795" s="18" t="n"/>
      <c r="I795" s="18" t="n"/>
      <c r="J795" s="18" t="n"/>
    </row>
    <row r="796" ht="12.3" customHeight="1" s="75">
      <c r="A796" s="17" t="n"/>
      <c r="B796" s="1" t="n"/>
      <c r="C796" s="18" t="n"/>
      <c r="D796" s="18" t="n"/>
      <c r="E796" s="1" t="n"/>
      <c r="F796" s="18" t="n"/>
      <c r="G796" s="18" t="n"/>
      <c r="H796" s="18" t="n"/>
      <c r="I796" s="18" t="n"/>
      <c r="J796" s="18" t="n"/>
    </row>
    <row r="797" ht="12.3" customHeight="1" s="75">
      <c r="A797" s="17" t="n"/>
      <c r="B797" s="1" t="n"/>
      <c r="C797" s="18" t="n"/>
      <c r="D797" s="18" t="n"/>
      <c r="E797" s="1" t="n"/>
      <c r="F797" s="18" t="n"/>
      <c r="G797" s="18" t="n"/>
      <c r="H797" s="18" t="n"/>
      <c r="I797" s="18" t="n"/>
      <c r="J797" s="18" t="n"/>
    </row>
    <row r="798" ht="12.3" customHeight="1" s="75">
      <c r="A798" s="17" t="n"/>
      <c r="B798" s="1" t="n"/>
      <c r="C798" s="18" t="n"/>
      <c r="D798" s="18" t="n"/>
      <c r="E798" s="1" t="n"/>
      <c r="F798" s="18" t="n"/>
      <c r="G798" s="18" t="n"/>
      <c r="H798" s="18" t="n"/>
      <c r="I798" s="18" t="n"/>
      <c r="J798" s="18" t="n"/>
    </row>
    <row r="799" ht="12.3" customHeight="1" s="75">
      <c r="A799" s="17" t="n"/>
      <c r="B799" s="1" t="n"/>
      <c r="C799" s="18" t="n"/>
      <c r="D799" s="18" t="n"/>
      <c r="E799" s="1" t="n"/>
      <c r="F799" s="18" t="n"/>
      <c r="G799" s="18" t="n"/>
      <c r="H799" s="18" t="n"/>
      <c r="I799" s="18" t="n"/>
      <c r="J799" s="18" t="n"/>
    </row>
    <row r="800" ht="12.3" customHeight="1" s="75">
      <c r="A800" s="17" t="n"/>
      <c r="B800" s="1" t="n"/>
      <c r="C800" s="18" t="n"/>
      <c r="D800" s="18" t="n"/>
      <c r="E800" s="1" t="n"/>
      <c r="F800" s="18" t="n"/>
      <c r="G800" s="18" t="n"/>
      <c r="H800" s="18" t="n"/>
      <c r="I800" s="18" t="n"/>
      <c r="J800" s="18" t="n"/>
    </row>
    <row r="801" ht="12.3" customHeight="1" s="75">
      <c r="A801" s="17" t="n"/>
      <c r="B801" s="1" t="n"/>
      <c r="C801" s="18" t="n"/>
      <c r="D801" s="18" t="n"/>
      <c r="E801" s="1" t="n"/>
      <c r="F801" s="18" t="n"/>
      <c r="G801" s="18" t="n"/>
      <c r="H801" s="18" t="n"/>
      <c r="I801" s="18" t="n"/>
      <c r="J801" s="18" t="n"/>
    </row>
    <row r="802" ht="12.3" customHeight="1" s="75">
      <c r="A802" s="17" t="n"/>
      <c r="B802" s="1" t="n"/>
      <c r="C802" s="18" t="n"/>
      <c r="D802" s="18" t="n"/>
      <c r="E802" s="1" t="n"/>
      <c r="F802" s="18" t="n"/>
      <c r="G802" s="18" t="n"/>
      <c r="H802" s="18" t="n"/>
      <c r="I802" s="18" t="n"/>
      <c r="J802" s="18" t="n"/>
    </row>
    <row r="803" ht="12.3" customHeight="1" s="75">
      <c r="A803" s="17" t="n"/>
      <c r="B803" s="1" t="n"/>
      <c r="C803" s="18" t="n"/>
      <c r="D803" s="18" t="n"/>
      <c r="E803" s="1" t="n"/>
      <c r="F803" s="18" t="n"/>
      <c r="G803" s="18" t="n"/>
      <c r="H803" s="18" t="n"/>
      <c r="I803" s="18" t="n"/>
      <c r="J803" s="18" t="n"/>
    </row>
    <row r="804" ht="12.3" customHeight="1" s="75">
      <c r="A804" s="17" t="n"/>
      <c r="B804" s="1" t="n"/>
      <c r="C804" s="18" t="n"/>
      <c r="D804" s="18" t="n"/>
      <c r="E804" s="1" t="n"/>
      <c r="F804" s="18" t="n"/>
      <c r="G804" s="18" t="n"/>
      <c r="H804" s="18" t="n"/>
      <c r="I804" s="18" t="n"/>
      <c r="J804" s="18" t="n"/>
    </row>
    <row r="805" ht="12.3" customHeight="1" s="75">
      <c r="A805" s="17" t="n"/>
      <c r="B805" s="1" t="n"/>
      <c r="C805" s="18" t="n"/>
      <c r="D805" s="18" t="n"/>
      <c r="E805" s="1" t="n"/>
      <c r="F805" s="18" t="n"/>
      <c r="G805" s="18" t="n"/>
      <c r="H805" s="18" t="n"/>
      <c r="I805" s="18" t="n"/>
      <c r="J805" s="18" t="n"/>
    </row>
    <row r="806" ht="12.3" customHeight="1" s="75">
      <c r="A806" s="17" t="n"/>
      <c r="B806" s="1" t="n"/>
      <c r="C806" s="18" t="n"/>
      <c r="D806" s="18" t="n"/>
      <c r="E806" s="1" t="n"/>
      <c r="F806" s="18" t="n"/>
      <c r="G806" s="18" t="n"/>
      <c r="H806" s="18" t="n"/>
      <c r="I806" s="18" t="n"/>
      <c r="J806" s="18" t="n"/>
    </row>
    <row r="807" ht="12.3" customHeight="1" s="75">
      <c r="A807" s="17" t="n"/>
      <c r="B807" s="1" t="n"/>
      <c r="C807" s="18" t="n"/>
      <c r="D807" s="18" t="n"/>
      <c r="E807" s="1" t="n"/>
      <c r="F807" s="18" t="n"/>
      <c r="G807" s="18" t="n"/>
      <c r="H807" s="18" t="n"/>
      <c r="I807" s="18" t="n"/>
      <c r="J807" s="18" t="n"/>
    </row>
    <row r="808" ht="12.3" customHeight="1" s="75">
      <c r="A808" s="17" t="n"/>
      <c r="B808" s="1" t="n"/>
      <c r="C808" s="18" t="n"/>
      <c r="D808" s="18" t="n"/>
      <c r="E808" s="1" t="n"/>
      <c r="F808" s="18" t="n"/>
      <c r="G808" s="18" t="n"/>
      <c r="H808" s="18" t="n"/>
      <c r="I808" s="18" t="n"/>
      <c r="J808" s="18" t="n"/>
    </row>
    <row r="809" ht="12.3" customHeight="1" s="75">
      <c r="A809" s="17" t="n"/>
      <c r="B809" s="1" t="n"/>
      <c r="C809" s="18" t="n"/>
      <c r="D809" s="18" t="n"/>
      <c r="E809" s="1" t="n"/>
      <c r="F809" s="18" t="n"/>
      <c r="G809" s="18" t="n"/>
      <c r="H809" s="18" t="n"/>
      <c r="I809" s="18" t="n"/>
      <c r="J809" s="18" t="n"/>
    </row>
    <row r="810" ht="12.3" customHeight="1" s="75">
      <c r="A810" s="17" t="n"/>
      <c r="B810" s="1" t="n"/>
      <c r="C810" s="18" t="n"/>
      <c r="D810" s="18" t="n"/>
      <c r="E810" s="1" t="n"/>
      <c r="F810" s="18" t="n"/>
      <c r="G810" s="18" t="n"/>
      <c r="H810" s="18" t="n"/>
      <c r="I810" s="18" t="n"/>
      <c r="J810" s="18" t="n"/>
    </row>
    <row r="811" ht="12.3" customHeight="1" s="75">
      <c r="A811" s="17" t="n"/>
      <c r="B811" s="1" t="n"/>
      <c r="C811" s="18" t="n"/>
      <c r="D811" s="18" t="n"/>
      <c r="E811" s="1" t="n"/>
      <c r="F811" s="18" t="n"/>
      <c r="G811" s="18" t="n"/>
      <c r="H811" s="18" t="n"/>
      <c r="I811" s="18" t="n"/>
      <c r="J811" s="18" t="n"/>
    </row>
    <row r="812" ht="12.3" customHeight="1" s="75">
      <c r="A812" s="17" t="n"/>
      <c r="B812" s="1" t="n"/>
      <c r="C812" s="18" t="n"/>
      <c r="D812" s="18" t="n"/>
      <c r="E812" s="1" t="n"/>
      <c r="F812" s="18" t="n"/>
      <c r="G812" s="18" t="n"/>
      <c r="H812" s="18" t="n"/>
      <c r="I812" s="18" t="n"/>
      <c r="J812" s="18" t="n"/>
    </row>
    <row r="813" ht="12.3" customHeight="1" s="75">
      <c r="A813" s="17" t="n"/>
      <c r="B813" s="1" t="n"/>
      <c r="C813" s="18" t="n"/>
      <c r="D813" s="18" t="n"/>
      <c r="E813" s="1" t="n"/>
      <c r="F813" s="18" t="n"/>
      <c r="G813" s="18" t="n"/>
      <c r="H813" s="18" t="n"/>
      <c r="I813" s="18" t="n"/>
      <c r="J813" s="18" t="n"/>
    </row>
    <row r="814" ht="12.3" customHeight="1" s="75">
      <c r="A814" s="17" t="n"/>
      <c r="B814" s="1" t="n"/>
      <c r="C814" s="18" t="n"/>
      <c r="D814" s="18" t="n"/>
      <c r="E814" s="1" t="n"/>
      <c r="F814" s="18" t="n"/>
      <c r="G814" s="18" t="n"/>
      <c r="H814" s="18" t="n"/>
      <c r="I814" s="18" t="n"/>
      <c r="J814" s="18" t="n"/>
    </row>
    <row r="815" ht="12.3" customHeight="1" s="75">
      <c r="A815" s="17" t="n"/>
      <c r="B815" s="1" t="n"/>
      <c r="C815" s="18" t="n"/>
      <c r="D815" s="18" t="n"/>
      <c r="E815" s="1" t="n"/>
      <c r="F815" s="18" t="n"/>
      <c r="G815" s="18" t="n"/>
      <c r="H815" s="18" t="n"/>
      <c r="I815" s="18" t="n"/>
      <c r="J815" s="18" t="n"/>
    </row>
    <row r="816" ht="12.3" customHeight="1" s="75">
      <c r="A816" s="17" t="n"/>
      <c r="B816" s="1" t="n"/>
      <c r="C816" s="18" t="n"/>
      <c r="D816" s="18" t="n"/>
      <c r="E816" s="1" t="n"/>
      <c r="F816" s="18" t="n"/>
      <c r="G816" s="18" t="n"/>
      <c r="H816" s="18" t="n"/>
      <c r="I816" s="18" t="n"/>
      <c r="J816" s="18" t="n"/>
    </row>
    <row r="817" ht="12.3" customHeight="1" s="75">
      <c r="A817" s="17" t="n"/>
      <c r="B817" s="1" t="n"/>
      <c r="C817" s="18" t="n"/>
      <c r="D817" s="18" t="n"/>
      <c r="E817" s="1" t="n"/>
      <c r="F817" s="18" t="n"/>
      <c r="G817" s="18" t="n"/>
      <c r="H817" s="18" t="n"/>
      <c r="I817" s="18" t="n"/>
      <c r="J817" s="18" t="n"/>
    </row>
    <row r="818" ht="12.3" customHeight="1" s="75">
      <c r="A818" s="17" t="n"/>
      <c r="B818" s="1" t="n"/>
      <c r="C818" s="18" t="n"/>
      <c r="D818" s="18" t="n"/>
      <c r="E818" s="1" t="n"/>
      <c r="F818" s="18" t="n"/>
      <c r="G818" s="18" t="n"/>
      <c r="H818" s="18" t="n"/>
      <c r="I818" s="18" t="n"/>
      <c r="J818" s="18" t="n"/>
    </row>
    <row r="819" ht="12.3" customHeight="1" s="75">
      <c r="A819" s="17" t="n"/>
      <c r="B819" s="1" t="n"/>
      <c r="C819" s="18" t="n"/>
      <c r="D819" s="18" t="n"/>
      <c r="E819" s="1" t="n"/>
      <c r="F819" s="18" t="n"/>
      <c r="G819" s="18" t="n"/>
      <c r="H819" s="18" t="n"/>
      <c r="I819" s="18" t="n"/>
      <c r="J819" s="18" t="n"/>
    </row>
    <row r="820" ht="12.3" customHeight="1" s="75">
      <c r="A820" s="17" t="n"/>
      <c r="B820" s="1" t="n"/>
      <c r="C820" s="18" t="n"/>
      <c r="D820" s="18" t="n"/>
      <c r="E820" s="1" t="n"/>
      <c r="F820" s="18" t="n"/>
      <c r="G820" s="18" t="n"/>
      <c r="H820" s="18" t="n"/>
      <c r="I820" s="18" t="n"/>
      <c r="J820" s="18" t="n"/>
    </row>
    <row r="821" ht="12.3" customHeight="1" s="75">
      <c r="A821" s="17" t="n"/>
      <c r="B821" s="1" t="n"/>
      <c r="C821" s="18" t="n"/>
      <c r="D821" s="18" t="n"/>
      <c r="E821" s="1" t="n"/>
      <c r="F821" s="18" t="n"/>
      <c r="G821" s="18" t="n"/>
      <c r="H821" s="18" t="n"/>
      <c r="I821" s="18" t="n"/>
      <c r="J821" s="18" t="n"/>
    </row>
    <row r="822" ht="12.3" customHeight="1" s="75">
      <c r="A822" s="17" t="n"/>
      <c r="B822" s="1" t="n"/>
      <c r="C822" s="18" t="n"/>
      <c r="D822" s="18" t="n"/>
      <c r="E822" s="1" t="n"/>
      <c r="F822" s="18" t="n"/>
      <c r="G822" s="18" t="n"/>
      <c r="H822" s="18" t="n"/>
      <c r="I822" s="18" t="n"/>
      <c r="J822" s="18" t="n"/>
    </row>
    <row r="823" ht="12.3" customHeight="1" s="75">
      <c r="A823" s="17" t="n"/>
      <c r="B823" s="1" t="n"/>
      <c r="C823" s="18" t="n"/>
      <c r="D823" s="18" t="n"/>
      <c r="E823" s="1" t="n"/>
      <c r="F823" s="18" t="n"/>
      <c r="G823" s="18" t="n"/>
      <c r="H823" s="18" t="n"/>
      <c r="I823" s="18" t="n"/>
      <c r="J823" s="18" t="n"/>
    </row>
    <row r="824" ht="12.3" customHeight="1" s="75">
      <c r="A824" s="17" t="n"/>
      <c r="B824" s="1" t="n"/>
      <c r="C824" s="18" t="n"/>
      <c r="D824" s="18" t="n"/>
      <c r="E824" s="1" t="n"/>
      <c r="F824" s="18" t="n"/>
      <c r="G824" s="18" t="n"/>
      <c r="H824" s="18" t="n"/>
      <c r="I824" s="18" t="n"/>
      <c r="J824" s="18" t="n"/>
    </row>
    <row r="825" ht="12.3" customHeight="1" s="75">
      <c r="A825" s="17" t="n"/>
      <c r="B825" s="1" t="n"/>
      <c r="C825" s="18" t="n"/>
      <c r="D825" s="18" t="n"/>
      <c r="E825" s="1" t="n"/>
      <c r="F825" s="18" t="n"/>
      <c r="G825" s="18" t="n"/>
      <c r="H825" s="18" t="n"/>
      <c r="I825" s="18" t="n"/>
      <c r="J825" s="18" t="n"/>
    </row>
    <row r="826" ht="12.3" customHeight="1" s="75">
      <c r="A826" s="17" t="n"/>
      <c r="B826" s="1" t="n"/>
      <c r="C826" s="18" t="n"/>
      <c r="D826" s="18" t="n"/>
      <c r="E826" s="1" t="n"/>
      <c r="F826" s="18" t="n"/>
      <c r="G826" s="18" t="n"/>
      <c r="H826" s="18" t="n"/>
      <c r="I826" s="18" t="n"/>
      <c r="J826" s="18" t="n"/>
    </row>
    <row r="827" ht="12.3" customHeight="1" s="75">
      <c r="A827" s="17" t="n"/>
      <c r="B827" s="1" t="n"/>
      <c r="C827" s="18" t="n"/>
      <c r="D827" s="18" t="n"/>
      <c r="E827" s="1" t="n"/>
      <c r="F827" s="18" t="n"/>
      <c r="G827" s="18" t="n"/>
      <c r="H827" s="18" t="n"/>
      <c r="I827" s="18" t="n"/>
      <c r="J827" s="18" t="n"/>
    </row>
    <row r="828" ht="12.3" customHeight="1" s="75">
      <c r="A828" s="17" t="n"/>
      <c r="B828" s="1" t="n"/>
      <c r="C828" s="18" t="n"/>
      <c r="D828" s="18" t="n"/>
      <c r="E828" s="1" t="n"/>
      <c r="F828" s="18" t="n"/>
      <c r="G828" s="18" t="n"/>
      <c r="H828" s="18" t="n"/>
      <c r="I828" s="18" t="n"/>
      <c r="J828" s="18" t="n"/>
    </row>
    <row r="829" ht="12.3" customHeight="1" s="75">
      <c r="A829" s="17" t="n"/>
      <c r="B829" s="1" t="n"/>
      <c r="C829" s="18" t="n"/>
      <c r="D829" s="18" t="n"/>
      <c r="E829" s="1" t="n"/>
      <c r="F829" s="18" t="n"/>
      <c r="G829" s="18" t="n"/>
      <c r="H829" s="18" t="n"/>
      <c r="I829" s="18" t="n"/>
      <c r="J829" s="18" t="n"/>
    </row>
    <row r="830" ht="12.3" customHeight="1" s="75">
      <c r="A830" s="17" t="n"/>
      <c r="B830" s="1" t="n"/>
      <c r="C830" s="18" t="n"/>
      <c r="D830" s="18" t="n"/>
      <c r="E830" s="1" t="n"/>
      <c r="F830" s="18" t="n"/>
      <c r="G830" s="18" t="n"/>
      <c r="H830" s="18" t="n"/>
      <c r="I830" s="18" t="n"/>
      <c r="J830" s="18" t="n"/>
    </row>
    <row r="831" ht="12.3" customHeight="1" s="75">
      <c r="A831" s="17" t="n"/>
      <c r="B831" s="1" t="n"/>
      <c r="C831" s="18" t="n"/>
      <c r="D831" s="18" t="n"/>
      <c r="E831" s="1" t="n"/>
      <c r="F831" s="18" t="n"/>
      <c r="G831" s="18" t="n"/>
      <c r="H831" s="18" t="n"/>
      <c r="I831" s="18" t="n"/>
      <c r="J831" s="18" t="n"/>
    </row>
    <row r="832" ht="12.3" customHeight="1" s="75">
      <c r="A832" s="17" t="n"/>
      <c r="B832" s="1" t="n"/>
      <c r="C832" s="18" t="n"/>
      <c r="D832" s="18" t="n"/>
      <c r="E832" s="1" t="n"/>
      <c r="F832" s="18" t="n"/>
      <c r="G832" s="18" t="n"/>
      <c r="H832" s="18" t="n"/>
      <c r="I832" s="18" t="n"/>
      <c r="J832" s="18" t="n"/>
    </row>
    <row r="833" ht="12.3" customHeight="1" s="75">
      <c r="A833" s="17" t="n"/>
      <c r="B833" s="1" t="n"/>
      <c r="C833" s="18" t="n"/>
      <c r="D833" s="18" t="n"/>
      <c r="E833" s="1" t="n"/>
      <c r="F833" s="18" t="n"/>
      <c r="G833" s="18" t="n"/>
      <c r="H833" s="18" t="n"/>
      <c r="I833" s="18" t="n"/>
      <c r="J833" s="18" t="n"/>
    </row>
    <row r="834" ht="12.3" customHeight="1" s="75">
      <c r="A834" s="17" t="n"/>
      <c r="B834" s="1" t="n"/>
      <c r="C834" s="18" t="n"/>
      <c r="D834" s="18" t="n"/>
      <c r="E834" s="1" t="n"/>
      <c r="F834" s="18" t="n"/>
      <c r="G834" s="18" t="n"/>
      <c r="H834" s="18" t="n"/>
      <c r="I834" s="18" t="n"/>
      <c r="J834" s="18" t="n"/>
    </row>
    <row r="835" ht="12.3" customHeight="1" s="75">
      <c r="A835" s="17" t="n"/>
      <c r="B835" s="1" t="n"/>
      <c r="C835" s="18" t="n"/>
      <c r="D835" s="18" t="n"/>
      <c r="E835" s="1" t="n"/>
      <c r="F835" s="18" t="n"/>
      <c r="G835" s="18" t="n"/>
      <c r="H835" s="18" t="n"/>
      <c r="I835" s="18" t="n"/>
      <c r="J835" s="18" t="n"/>
    </row>
    <row r="836" ht="12.3" customHeight="1" s="75">
      <c r="A836" s="17" t="n"/>
      <c r="B836" s="1" t="n"/>
      <c r="C836" s="18" t="n"/>
      <c r="D836" s="18" t="n"/>
      <c r="E836" s="1" t="n"/>
      <c r="F836" s="18" t="n"/>
      <c r="G836" s="18" t="n"/>
      <c r="H836" s="18" t="n"/>
      <c r="I836" s="18" t="n"/>
      <c r="J836" s="18" t="n"/>
    </row>
    <row r="837" ht="12.3" customHeight="1" s="75">
      <c r="A837" s="17" t="n"/>
      <c r="B837" s="1" t="n"/>
      <c r="C837" s="18" t="n"/>
      <c r="D837" s="18" t="n"/>
      <c r="E837" s="1" t="n"/>
      <c r="F837" s="18" t="n"/>
      <c r="G837" s="18" t="n"/>
      <c r="H837" s="18" t="n"/>
      <c r="I837" s="18" t="n"/>
      <c r="J837" s="18" t="n"/>
    </row>
    <row r="838" ht="12.3" customHeight="1" s="75">
      <c r="A838" s="17" t="n"/>
      <c r="B838" s="1" t="n"/>
      <c r="C838" s="18" t="n"/>
      <c r="D838" s="18" t="n"/>
      <c r="E838" s="1" t="n"/>
      <c r="F838" s="18" t="n"/>
      <c r="G838" s="18" t="n"/>
      <c r="H838" s="18" t="n"/>
      <c r="I838" s="18" t="n"/>
      <c r="J838" s="18" t="n"/>
    </row>
    <row r="839" ht="12.3" customHeight="1" s="75">
      <c r="A839" s="17" t="n"/>
      <c r="B839" s="1" t="n"/>
      <c r="C839" s="18" t="n"/>
      <c r="D839" s="18" t="n"/>
      <c r="E839" s="1" t="n"/>
      <c r="F839" s="18" t="n"/>
      <c r="G839" s="18" t="n"/>
      <c r="H839" s="18" t="n"/>
      <c r="I839" s="18" t="n"/>
      <c r="J839" s="18" t="n"/>
    </row>
    <row r="840" ht="12.3" customHeight="1" s="75">
      <c r="A840" s="17" t="n"/>
      <c r="B840" s="1" t="n"/>
      <c r="C840" s="18" t="n"/>
      <c r="D840" s="18" t="n"/>
      <c r="E840" s="1" t="n"/>
      <c r="F840" s="18" t="n"/>
      <c r="G840" s="18" t="n"/>
      <c r="H840" s="18" t="n"/>
      <c r="I840" s="18" t="n"/>
      <c r="J840" s="18" t="n"/>
    </row>
    <row r="841" ht="12.3" customHeight="1" s="75">
      <c r="A841" s="17" t="n"/>
      <c r="B841" s="1" t="n"/>
      <c r="C841" s="18" t="n"/>
      <c r="D841" s="18" t="n"/>
      <c r="E841" s="1" t="n"/>
      <c r="F841" s="18" t="n"/>
      <c r="G841" s="18" t="n"/>
      <c r="H841" s="18" t="n"/>
      <c r="I841" s="18" t="n"/>
      <c r="J841" s="18" t="n"/>
    </row>
    <row r="842" ht="12.3" customHeight="1" s="75">
      <c r="A842" s="17" t="n"/>
      <c r="B842" s="1" t="n"/>
      <c r="C842" s="18" t="n"/>
      <c r="D842" s="18" t="n"/>
      <c r="E842" s="1" t="n"/>
      <c r="F842" s="18" t="n"/>
      <c r="G842" s="18" t="n"/>
      <c r="H842" s="18" t="n"/>
      <c r="I842" s="18" t="n"/>
      <c r="J842" s="18" t="n"/>
    </row>
    <row r="843" ht="12.3" customHeight="1" s="75">
      <c r="A843" s="17" t="n"/>
      <c r="B843" s="1" t="n"/>
      <c r="C843" s="18" t="n"/>
      <c r="D843" s="18" t="n"/>
      <c r="E843" s="1" t="n"/>
      <c r="F843" s="18" t="n"/>
      <c r="G843" s="18" t="n"/>
      <c r="H843" s="18" t="n"/>
      <c r="I843" s="18" t="n"/>
      <c r="J843" s="18" t="n"/>
    </row>
    <row r="844" ht="12.3" customHeight="1" s="75">
      <c r="A844" s="17" t="n"/>
      <c r="B844" s="1" t="n"/>
      <c r="C844" s="18" t="n"/>
      <c r="D844" s="18" t="n"/>
      <c r="E844" s="1" t="n"/>
      <c r="F844" s="18" t="n"/>
      <c r="G844" s="18" t="n"/>
      <c r="H844" s="18" t="n"/>
      <c r="I844" s="18" t="n"/>
      <c r="J844" s="18" t="n"/>
    </row>
    <row r="845" ht="12.3" customHeight="1" s="75">
      <c r="A845" s="17" t="n"/>
      <c r="B845" s="1" t="n"/>
      <c r="C845" s="18" t="n"/>
      <c r="D845" s="18" t="n"/>
      <c r="E845" s="1" t="n"/>
      <c r="F845" s="18" t="n"/>
      <c r="G845" s="18" t="n"/>
      <c r="H845" s="18" t="n"/>
      <c r="I845" s="18" t="n"/>
      <c r="J845" s="18" t="n"/>
    </row>
    <row r="846" ht="12.3" customHeight="1" s="75">
      <c r="A846" s="17" t="n"/>
      <c r="B846" s="1" t="n"/>
      <c r="C846" s="18" t="n"/>
      <c r="D846" s="18" t="n"/>
      <c r="E846" s="1" t="n"/>
      <c r="F846" s="18" t="n"/>
      <c r="G846" s="18" t="n"/>
      <c r="H846" s="18" t="n"/>
      <c r="I846" s="18" t="n"/>
      <c r="J846" s="18" t="n"/>
    </row>
    <row r="847" ht="12.3" customHeight="1" s="75">
      <c r="A847" s="17" t="n"/>
      <c r="B847" s="1" t="n"/>
      <c r="C847" s="18" t="n"/>
      <c r="D847" s="18" t="n"/>
      <c r="E847" s="1" t="n"/>
      <c r="F847" s="18" t="n"/>
      <c r="G847" s="18" t="n"/>
      <c r="H847" s="18" t="n"/>
      <c r="I847" s="18" t="n"/>
      <c r="J847" s="18" t="n"/>
    </row>
    <row r="848" ht="12.3" customHeight="1" s="75">
      <c r="A848" s="17" t="n"/>
      <c r="B848" s="1" t="n"/>
      <c r="C848" s="18" t="n"/>
      <c r="D848" s="18" t="n"/>
      <c r="E848" s="1" t="n"/>
      <c r="F848" s="18" t="n"/>
      <c r="G848" s="18" t="n"/>
      <c r="H848" s="18" t="n"/>
      <c r="I848" s="18" t="n"/>
      <c r="J848" s="18" t="n"/>
    </row>
    <row r="849" ht="12.3" customHeight="1" s="75">
      <c r="A849" s="17" t="n"/>
      <c r="B849" s="1" t="n"/>
      <c r="C849" s="18" t="n"/>
      <c r="D849" s="18" t="n"/>
      <c r="E849" s="1" t="n"/>
      <c r="F849" s="18" t="n"/>
      <c r="G849" s="18" t="n"/>
      <c r="H849" s="18" t="n"/>
      <c r="I849" s="18" t="n"/>
      <c r="J849" s="18" t="n"/>
    </row>
    <row r="850" ht="12.3" customHeight="1" s="75">
      <c r="A850" s="17" t="n"/>
      <c r="B850" s="1" t="n"/>
      <c r="C850" s="18" t="n"/>
      <c r="D850" s="18" t="n"/>
      <c r="E850" s="1" t="n"/>
      <c r="F850" s="18" t="n"/>
      <c r="G850" s="18" t="n"/>
      <c r="H850" s="18" t="n"/>
      <c r="I850" s="18" t="n"/>
      <c r="J850" s="18" t="n"/>
    </row>
    <row r="851" ht="12.3" customHeight="1" s="75">
      <c r="A851" s="17" t="n"/>
      <c r="B851" s="1" t="n"/>
      <c r="C851" s="18" t="n"/>
      <c r="D851" s="18" t="n"/>
      <c r="E851" s="1" t="n"/>
      <c r="F851" s="18" t="n"/>
      <c r="G851" s="18" t="n"/>
      <c r="H851" s="18" t="n"/>
      <c r="I851" s="18" t="n"/>
      <c r="J851" s="18" t="n"/>
    </row>
    <row r="852" ht="12.3" customHeight="1" s="75">
      <c r="A852" s="17" t="n"/>
      <c r="B852" s="1" t="n"/>
      <c r="C852" s="18" t="n"/>
      <c r="D852" s="18" t="n"/>
      <c r="E852" s="1" t="n"/>
      <c r="F852" s="18" t="n"/>
      <c r="G852" s="18" t="n"/>
      <c r="H852" s="18" t="n"/>
      <c r="I852" s="18" t="n"/>
      <c r="J852" s="18" t="n"/>
    </row>
    <row r="853" ht="12.3" customHeight="1" s="75">
      <c r="A853" s="17" t="n"/>
      <c r="B853" s="1" t="n"/>
      <c r="C853" s="18" t="n"/>
      <c r="D853" s="18" t="n"/>
      <c r="E853" s="1" t="n"/>
      <c r="F853" s="18" t="n"/>
      <c r="G853" s="18" t="n"/>
      <c r="H853" s="18" t="n"/>
      <c r="I853" s="18" t="n"/>
      <c r="J853" s="18" t="n"/>
    </row>
    <row r="854" ht="12.3" customHeight="1" s="75">
      <c r="A854" s="17" t="n"/>
      <c r="B854" s="1" t="n"/>
      <c r="C854" s="18" t="n"/>
      <c r="D854" s="18" t="n"/>
      <c r="E854" s="1" t="n"/>
      <c r="F854" s="18" t="n"/>
      <c r="G854" s="18" t="n"/>
      <c r="H854" s="18" t="n"/>
      <c r="I854" s="18" t="n"/>
      <c r="J854" s="18" t="n"/>
    </row>
    <row r="855" ht="12.3" customHeight="1" s="75">
      <c r="A855" s="17" t="n"/>
      <c r="B855" s="1" t="n"/>
      <c r="C855" s="18" t="n"/>
      <c r="D855" s="18" t="n"/>
      <c r="E855" s="1" t="n"/>
      <c r="F855" s="18" t="n"/>
      <c r="G855" s="18" t="n"/>
      <c r="H855" s="18" t="n"/>
      <c r="I855" s="18" t="n"/>
      <c r="J855" s="18" t="n"/>
    </row>
    <row r="856" ht="12.3" customHeight="1" s="75">
      <c r="A856" s="17" t="n"/>
      <c r="B856" s="1" t="n"/>
      <c r="C856" s="18" t="n"/>
      <c r="D856" s="18" t="n"/>
      <c r="E856" s="1" t="n"/>
      <c r="F856" s="18" t="n"/>
      <c r="G856" s="18" t="n"/>
      <c r="H856" s="18" t="n"/>
      <c r="I856" s="18" t="n"/>
      <c r="J856" s="18" t="n"/>
    </row>
    <row r="857" ht="12.3" customHeight="1" s="75">
      <c r="A857" s="17" t="n"/>
      <c r="B857" s="1" t="n"/>
      <c r="C857" s="18" t="n"/>
      <c r="D857" s="18" t="n"/>
      <c r="E857" s="1" t="n"/>
      <c r="F857" s="18" t="n"/>
      <c r="G857" s="18" t="n"/>
      <c r="H857" s="18" t="n"/>
      <c r="I857" s="18" t="n"/>
      <c r="J857" s="18" t="n"/>
    </row>
    <row r="858" ht="12.3" customHeight="1" s="75">
      <c r="A858" s="17" t="n"/>
      <c r="B858" s="1" t="n"/>
      <c r="C858" s="18" t="n"/>
      <c r="D858" s="18" t="n"/>
      <c r="E858" s="1" t="n"/>
      <c r="F858" s="18" t="n"/>
      <c r="G858" s="18" t="n"/>
      <c r="H858" s="18" t="n"/>
      <c r="I858" s="18" t="n"/>
      <c r="J858" s="18" t="n"/>
    </row>
    <row r="859" ht="12.3" customHeight="1" s="75">
      <c r="A859" s="17" t="n"/>
      <c r="B859" s="1" t="n"/>
      <c r="C859" s="18" t="n"/>
      <c r="D859" s="18" t="n"/>
      <c r="E859" s="1" t="n"/>
      <c r="F859" s="18" t="n"/>
      <c r="G859" s="18" t="n"/>
      <c r="H859" s="18" t="n"/>
      <c r="I859" s="18" t="n"/>
      <c r="J859" s="18" t="n"/>
    </row>
    <row r="860" ht="12.3" customHeight="1" s="75">
      <c r="A860" s="17" t="n"/>
      <c r="B860" s="1" t="n"/>
      <c r="C860" s="18" t="n"/>
      <c r="D860" s="18" t="n"/>
      <c r="E860" s="1" t="n"/>
      <c r="F860" s="18" t="n"/>
      <c r="G860" s="18" t="n"/>
      <c r="H860" s="18" t="n"/>
      <c r="I860" s="18" t="n"/>
      <c r="J860" s="18" t="n"/>
    </row>
    <row r="861" ht="12.3" customHeight="1" s="75">
      <c r="A861" s="17" t="n"/>
      <c r="B861" s="1" t="n"/>
      <c r="C861" s="18" t="n"/>
      <c r="D861" s="18" t="n"/>
      <c r="E861" s="1" t="n"/>
      <c r="F861" s="18" t="n"/>
      <c r="G861" s="18" t="n"/>
      <c r="H861" s="18" t="n"/>
      <c r="I861" s="18" t="n"/>
      <c r="J861" s="18" t="n"/>
    </row>
    <row r="862" ht="12.3" customHeight="1" s="75">
      <c r="A862" s="17" t="n"/>
      <c r="B862" s="1" t="n"/>
      <c r="C862" s="18" t="n"/>
      <c r="D862" s="18" t="n"/>
      <c r="E862" s="1" t="n"/>
      <c r="F862" s="18" t="n"/>
      <c r="G862" s="18" t="n"/>
      <c r="H862" s="18" t="n"/>
      <c r="I862" s="18" t="n"/>
      <c r="J862" s="18" t="n"/>
    </row>
    <row r="863" ht="12.3" customHeight="1" s="75">
      <c r="A863" s="17" t="n"/>
      <c r="B863" s="1" t="n"/>
      <c r="C863" s="18" t="n"/>
      <c r="D863" s="18" t="n"/>
      <c r="E863" s="1" t="n"/>
      <c r="F863" s="18" t="n"/>
      <c r="G863" s="18" t="n"/>
      <c r="H863" s="18" t="n"/>
      <c r="I863" s="18" t="n"/>
      <c r="J863" s="18" t="n"/>
    </row>
    <row r="864" ht="12.3" customHeight="1" s="75">
      <c r="A864" s="17" t="n"/>
      <c r="B864" s="1" t="n"/>
      <c r="C864" s="18" t="n"/>
      <c r="D864" s="18" t="n"/>
      <c r="E864" s="1" t="n"/>
      <c r="F864" s="18" t="n"/>
      <c r="G864" s="18" t="n"/>
      <c r="H864" s="18" t="n"/>
      <c r="I864" s="18" t="n"/>
      <c r="J864" s="18" t="n"/>
    </row>
    <row r="865" ht="12.3" customHeight="1" s="75">
      <c r="A865" s="17" t="n"/>
      <c r="B865" s="1" t="n"/>
      <c r="C865" s="18" t="n"/>
      <c r="D865" s="18" t="n"/>
      <c r="E865" s="1" t="n"/>
      <c r="F865" s="18" t="n"/>
      <c r="G865" s="18" t="n"/>
      <c r="H865" s="18" t="n"/>
      <c r="I865" s="18" t="n"/>
      <c r="J865" s="18" t="n"/>
    </row>
    <row r="866" ht="12.3" customHeight="1" s="75">
      <c r="A866" s="17" t="n"/>
      <c r="B866" s="1" t="n"/>
      <c r="C866" s="18" t="n"/>
      <c r="D866" s="18" t="n"/>
      <c r="E866" s="1" t="n"/>
      <c r="F866" s="18" t="n"/>
      <c r="G866" s="18" t="n"/>
      <c r="H866" s="18" t="n"/>
      <c r="I866" s="18" t="n"/>
      <c r="J866" s="18" t="n"/>
    </row>
    <row r="867" ht="12.3" customHeight="1" s="75">
      <c r="A867" s="17" t="n"/>
      <c r="B867" s="1" t="n"/>
      <c r="C867" s="18" t="n"/>
      <c r="D867" s="18" t="n"/>
      <c r="E867" s="1" t="n"/>
      <c r="F867" s="18" t="n"/>
      <c r="G867" s="18" t="n"/>
      <c r="H867" s="18" t="n"/>
      <c r="I867" s="18" t="n"/>
      <c r="J867" s="18" t="n"/>
    </row>
    <row r="868" ht="12.3" customHeight="1" s="75">
      <c r="A868" s="17" t="n"/>
      <c r="B868" s="1" t="n"/>
      <c r="C868" s="18" t="n"/>
      <c r="D868" s="18" t="n"/>
      <c r="E868" s="1" t="n"/>
      <c r="F868" s="18" t="n"/>
      <c r="G868" s="18" t="n"/>
      <c r="H868" s="18" t="n"/>
      <c r="I868" s="18" t="n"/>
      <c r="J868" s="18" t="n"/>
    </row>
    <row r="869" ht="12.3" customHeight="1" s="75">
      <c r="A869" s="17" t="n"/>
      <c r="B869" s="1" t="n"/>
      <c r="C869" s="18" t="n"/>
      <c r="D869" s="18" t="n"/>
      <c r="E869" s="1" t="n"/>
      <c r="F869" s="18" t="n"/>
      <c r="G869" s="18" t="n"/>
      <c r="H869" s="18" t="n"/>
      <c r="I869" s="18" t="n"/>
      <c r="J869" s="18" t="n"/>
    </row>
    <row r="870" ht="12.3" customHeight="1" s="75">
      <c r="A870" s="17" t="n"/>
      <c r="B870" s="1" t="n"/>
      <c r="C870" s="18" t="n"/>
      <c r="D870" s="18" t="n"/>
      <c r="E870" s="1" t="n"/>
      <c r="F870" s="18" t="n"/>
      <c r="G870" s="18" t="n"/>
      <c r="H870" s="18" t="n"/>
      <c r="I870" s="18" t="n"/>
      <c r="J870" s="18" t="n"/>
    </row>
    <row r="871" ht="12.3" customHeight="1" s="75">
      <c r="A871" s="17" t="n"/>
      <c r="B871" s="1" t="n"/>
      <c r="C871" s="18" t="n"/>
      <c r="D871" s="18" t="n"/>
      <c r="E871" s="1" t="n"/>
      <c r="F871" s="18" t="n"/>
      <c r="G871" s="18" t="n"/>
      <c r="H871" s="18" t="n"/>
      <c r="I871" s="18" t="n"/>
      <c r="J871" s="18" t="n"/>
    </row>
    <row r="872" ht="12.3" customHeight="1" s="75">
      <c r="A872" s="17" t="n"/>
      <c r="B872" s="1" t="n"/>
      <c r="C872" s="18" t="n"/>
      <c r="D872" s="18" t="n"/>
      <c r="E872" s="1" t="n"/>
      <c r="F872" s="18" t="n"/>
      <c r="G872" s="18" t="n"/>
      <c r="H872" s="18" t="n"/>
      <c r="I872" s="18" t="n"/>
      <c r="J872" s="18" t="n"/>
    </row>
    <row r="873" ht="12.3" customHeight="1" s="75">
      <c r="A873" s="17" t="n"/>
      <c r="B873" s="1" t="n"/>
      <c r="C873" s="18" t="n"/>
      <c r="D873" s="18" t="n"/>
      <c r="E873" s="1" t="n"/>
      <c r="F873" s="18" t="n"/>
      <c r="G873" s="18" t="n"/>
      <c r="H873" s="18" t="n"/>
      <c r="I873" s="18" t="n"/>
      <c r="J873" s="18" t="n"/>
    </row>
    <row r="874" ht="12.3" customHeight="1" s="75">
      <c r="A874" s="17" t="n"/>
      <c r="B874" s="1" t="n"/>
      <c r="C874" s="18" t="n"/>
      <c r="D874" s="18" t="n"/>
      <c r="E874" s="1" t="n"/>
      <c r="F874" s="18" t="n"/>
      <c r="G874" s="18" t="n"/>
      <c r="H874" s="18" t="n"/>
      <c r="I874" s="18" t="n"/>
      <c r="J874" s="18" t="n"/>
    </row>
    <row r="875" ht="12.3" customHeight="1" s="75">
      <c r="A875" s="17" t="n"/>
      <c r="B875" s="1" t="n"/>
      <c r="C875" s="18" t="n"/>
      <c r="D875" s="18" t="n"/>
      <c r="E875" s="1" t="n"/>
      <c r="F875" s="18" t="n"/>
      <c r="G875" s="18" t="n"/>
      <c r="H875" s="18" t="n"/>
      <c r="I875" s="18" t="n"/>
      <c r="J875" s="18" t="n"/>
    </row>
    <row r="876" ht="12.3" customHeight="1" s="75">
      <c r="A876" s="17" t="n"/>
      <c r="B876" s="1" t="n"/>
      <c r="C876" s="18" t="n"/>
      <c r="D876" s="18" t="n"/>
      <c r="E876" s="1" t="n"/>
      <c r="F876" s="18" t="n"/>
      <c r="G876" s="18" t="n"/>
      <c r="H876" s="18" t="n"/>
      <c r="I876" s="18" t="n"/>
      <c r="J876" s="18" t="n"/>
    </row>
    <row r="877" ht="12.3" customHeight="1" s="75">
      <c r="A877" s="17" t="n"/>
      <c r="B877" s="1" t="n"/>
      <c r="C877" s="18" t="n"/>
      <c r="D877" s="18" t="n"/>
      <c r="E877" s="1" t="n"/>
      <c r="F877" s="18" t="n"/>
      <c r="G877" s="18" t="n"/>
      <c r="H877" s="18" t="n"/>
      <c r="I877" s="18" t="n"/>
      <c r="J877" s="18" t="n"/>
    </row>
    <row r="878" ht="12.3" customHeight="1" s="75">
      <c r="A878" s="17" t="n"/>
      <c r="B878" s="1" t="n"/>
      <c r="C878" s="18" t="n"/>
      <c r="D878" s="18" t="n"/>
      <c r="E878" s="1" t="n"/>
      <c r="F878" s="18" t="n"/>
      <c r="G878" s="18" t="n"/>
      <c r="H878" s="18" t="n"/>
      <c r="I878" s="18" t="n"/>
      <c r="J878" s="18" t="n"/>
    </row>
    <row r="879" ht="12.3" customHeight="1" s="75">
      <c r="A879" s="17" t="n"/>
      <c r="B879" s="1" t="n"/>
      <c r="C879" s="18" t="n"/>
      <c r="D879" s="18" t="n"/>
      <c r="E879" s="1" t="n"/>
      <c r="F879" s="18" t="n"/>
      <c r="G879" s="18" t="n"/>
      <c r="H879" s="18" t="n"/>
      <c r="I879" s="18" t="n"/>
      <c r="J879" s="18" t="n"/>
    </row>
    <row r="880" ht="12.3" customHeight="1" s="75">
      <c r="A880" s="17" t="n"/>
      <c r="B880" s="1" t="n"/>
      <c r="C880" s="18" t="n"/>
      <c r="D880" s="18" t="n"/>
      <c r="E880" s="1" t="n"/>
      <c r="F880" s="18" t="n"/>
      <c r="G880" s="18" t="n"/>
      <c r="H880" s="18" t="n"/>
      <c r="I880" s="18" t="n"/>
      <c r="J880" s="18" t="n"/>
    </row>
    <row r="881" ht="12.3" customHeight="1" s="75">
      <c r="A881" s="17" t="n"/>
      <c r="B881" s="1" t="n"/>
      <c r="C881" s="18" t="n"/>
      <c r="D881" s="18" t="n"/>
      <c r="E881" s="1" t="n"/>
      <c r="F881" s="18" t="n"/>
      <c r="G881" s="18" t="n"/>
      <c r="H881" s="18" t="n"/>
      <c r="I881" s="18" t="n"/>
      <c r="J881" s="18" t="n"/>
    </row>
    <row r="882" ht="12.3" customHeight="1" s="75">
      <c r="A882" s="17" t="n"/>
      <c r="B882" s="1" t="n"/>
      <c r="C882" s="18" t="n"/>
      <c r="D882" s="18" t="n"/>
      <c r="E882" s="1" t="n"/>
      <c r="F882" s="18" t="n"/>
      <c r="G882" s="18" t="n"/>
      <c r="H882" s="18" t="n"/>
      <c r="I882" s="18" t="n"/>
      <c r="J882" s="18" t="n"/>
    </row>
    <row r="883" ht="12.3" customHeight="1" s="75">
      <c r="A883" s="17" t="n"/>
      <c r="B883" s="1" t="n"/>
      <c r="C883" s="18" t="n"/>
      <c r="D883" s="18" t="n"/>
      <c r="E883" s="1" t="n"/>
      <c r="F883" s="18" t="n"/>
      <c r="G883" s="18" t="n"/>
      <c r="H883" s="18" t="n"/>
      <c r="I883" s="18" t="n"/>
      <c r="J883" s="18" t="n"/>
    </row>
    <row r="884" ht="12.3" customHeight="1" s="75">
      <c r="A884" s="17" t="n"/>
      <c r="B884" s="1" t="n"/>
      <c r="C884" s="18" t="n"/>
      <c r="D884" s="18" t="n"/>
      <c r="E884" s="1" t="n"/>
      <c r="F884" s="18" t="n"/>
      <c r="G884" s="18" t="n"/>
      <c r="H884" s="18" t="n"/>
      <c r="I884" s="18" t="n"/>
      <c r="J884" s="18" t="n"/>
    </row>
    <row r="885" ht="12.3" customHeight="1" s="75">
      <c r="A885" s="17" t="n"/>
      <c r="B885" s="1" t="n"/>
      <c r="C885" s="18" t="n"/>
      <c r="D885" s="18" t="n"/>
      <c r="E885" s="1" t="n"/>
      <c r="F885" s="18" t="n"/>
      <c r="G885" s="18" t="n"/>
      <c r="H885" s="18" t="n"/>
      <c r="I885" s="18" t="n"/>
      <c r="J885" s="18" t="n"/>
    </row>
    <row r="886" ht="12.3" customHeight="1" s="75">
      <c r="A886" s="17" t="n"/>
      <c r="B886" s="1" t="n"/>
      <c r="C886" s="18" t="n"/>
      <c r="D886" s="18" t="n"/>
      <c r="E886" s="1" t="n"/>
      <c r="F886" s="18" t="n"/>
      <c r="G886" s="18" t="n"/>
      <c r="H886" s="18" t="n"/>
      <c r="I886" s="18" t="n"/>
      <c r="J886" s="18" t="n"/>
    </row>
    <row r="887" ht="12.3" customHeight="1" s="75">
      <c r="A887" s="17" t="n"/>
      <c r="B887" s="1" t="n"/>
      <c r="C887" s="18" t="n"/>
      <c r="D887" s="18" t="n"/>
      <c r="E887" s="1" t="n"/>
      <c r="F887" s="18" t="n"/>
      <c r="G887" s="18" t="n"/>
      <c r="H887" s="18" t="n"/>
      <c r="I887" s="18" t="n"/>
      <c r="J887" s="18" t="n"/>
    </row>
    <row r="888" ht="12.3" customHeight="1" s="75">
      <c r="A888" s="17" t="n"/>
      <c r="B888" s="1" t="n"/>
      <c r="C888" s="18" t="n"/>
      <c r="D888" s="18" t="n"/>
      <c r="E888" s="1" t="n"/>
      <c r="F888" s="18" t="n"/>
      <c r="G888" s="18" t="n"/>
      <c r="H888" s="18" t="n"/>
      <c r="I888" s="18" t="n"/>
      <c r="J888" s="18" t="n"/>
    </row>
    <row r="889" ht="12.3" customHeight="1" s="75">
      <c r="A889" s="17" t="n"/>
      <c r="B889" s="1" t="n"/>
      <c r="C889" s="18" t="n"/>
      <c r="D889" s="18" t="n"/>
      <c r="E889" s="1" t="n"/>
      <c r="F889" s="18" t="n"/>
      <c r="G889" s="18" t="n"/>
      <c r="H889" s="18" t="n"/>
      <c r="I889" s="18" t="n"/>
      <c r="J889" s="18" t="n"/>
    </row>
    <row r="890" ht="12.3" customHeight="1" s="75">
      <c r="A890" s="17" t="n"/>
      <c r="B890" s="1" t="n"/>
      <c r="C890" s="18" t="n"/>
      <c r="D890" s="18" t="n"/>
      <c r="E890" s="1" t="n"/>
      <c r="F890" s="18" t="n"/>
      <c r="G890" s="18" t="n"/>
      <c r="H890" s="18" t="n"/>
      <c r="I890" s="18" t="n"/>
      <c r="J890" s="18" t="n"/>
    </row>
    <row r="891" ht="12.3" customHeight="1" s="75">
      <c r="A891" s="17" t="n"/>
      <c r="B891" s="1" t="n"/>
      <c r="C891" s="18" t="n"/>
      <c r="D891" s="18" t="n"/>
      <c r="E891" s="1" t="n"/>
      <c r="F891" s="18" t="n"/>
      <c r="G891" s="18" t="n"/>
      <c r="H891" s="18" t="n"/>
      <c r="I891" s="18" t="n"/>
      <c r="J891" s="18" t="n"/>
    </row>
    <row r="892" ht="12.3" customHeight="1" s="75">
      <c r="A892" s="17" t="n"/>
      <c r="B892" s="1" t="n"/>
      <c r="C892" s="18" t="n"/>
      <c r="D892" s="18" t="n"/>
      <c r="E892" s="1" t="n"/>
      <c r="F892" s="18" t="n"/>
      <c r="G892" s="18" t="n"/>
      <c r="H892" s="18" t="n"/>
      <c r="I892" s="18" t="n"/>
      <c r="J892" s="18" t="n"/>
    </row>
    <row r="893" ht="12.3" customHeight="1" s="75">
      <c r="A893" s="17" t="n"/>
      <c r="B893" s="1" t="n"/>
      <c r="C893" s="18" t="n"/>
      <c r="D893" s="18" t="n"/>
      <c r="E893" s="1" t="n"/>
      <c r="F893" s="18" t="n"/>
      <c r="G893" s="18" t="n"/>
      <c r="H893" s="18" t="n"/>
      <c r="I893" s="18" t="n"/>
      <c r="J893" s="18" t="n"/>
    </row>
    <row r="894" ht="12.3" customHeight="1" s="75">
      <c r="A894" s="17" t="n"/>
      <c r="B894" s="1" t="n"/>
      <c r="C894" s="18" t="n"/>
      <c r="D894" s="18" t="n"/>
      <c r="E894" s="1" t="n"/>
      <c r="F894" s="18" t="n"/>
      <c r="G894" s="18" t="n"/>
      <c r="H894" s="18" t="n"/>
      <c r="I894" s="18" t="n"/>
      <c r="J894" s="18" t="n"/>
    </row>
    <row r="895" ht="12.3" customHeight="1" s="75">
      <c r="A895" s="17" t="n"/>
      <c r="B895" s="1" t="n"/>
      <c r="C895" s="18" t="n"/>
      <c r="D895" s="18" t="n"/>
      <c r="E895" s="1" t="n"/>
      <c r="F895" s="18" t="n"/>
      <c r="G895" s="18" t="n"/>
      <c r="H895" s="18" t="n"/>
      <c r="I895" s="18" t="n"/>
      <c r="J895" s="18" t="n"/>
    </row>
    <row r="896" ht="12.3" customHeight="1" s="75">
      <c r="A896" s="17" t="n"/>
      <c r="B896" s="1" t="n"/>
      <c r="C896" s="18" t="n"/>
      <c r="D896" s="18" t="n"/>
      <c r="E896" s="1" t="n"/>
      <c r="F896" s="18" t="n"/>
      <c r="G896" s="18" t="n"/>
      <c r="H896" s="18" t="n"/>
      <c r="I896" s="18" t="n"/>
      <c r="J896" s="18" t="n"/>
    </row>
    <row r="897" ht="12.3" customHeight="1" s="75">
      <c r="A897" s="17" t="n"/>
      <c r="B897" s="1" t="n"/>
      <c r="C897" s="18" t="n"/>
      <c r="D897" s="18" t="n"/>
      <c r="E897" s="1" t="n"/>
      <c r="F897" s="18" t="n"/>
      <c r="G897" s="18" t="n"/>
      <c r="H897" s="18" t="n"/>
      <c r="I897" s="18" t="n"/>
      <c r="J897" s="18" t="n"/>
    </row>
    <row r="898" ht="12.3" customHeight="1" s="75">
      <c r="A898" s="17" t="n"/>
      <c r="B898" s="1" t="n"/>
      <c r="C898" s="18" t="n"/>
      <c r="D898" s="18" t="n"/>
      <c r="E898" s="1" t="n"/>
      <c r="F898" s="18" t="n"/>
      <c r="G898" s="18" t="n"/>
      <c r="H898" s="18" t="n"/>
      <c r="I898" s="18" t="n"/>
      <c r="J898" s="18" t="n"/>
    </row>
    <row r="899" ht="12.3" customHeight="1" s="75">
      <c r="A899" s="17" t="n"/>
      <c r="B899" s="1" t="n"/>
      <c r="C899" s="18" t="n"/>
      <c r="D899" s="18" t="n"/>
      <c r="E899" s="1" t="n"/>
      <c r="F899" s="18" t="n"/>
      <c r="G899" s="18" t="n"/>
      <c r="H899" s="18" t="n"/>
      <c r="I899" s="18" t="n"/>
      <c r="J899" s="18" t="n"/>
    </row>
    <row r="900" ht="12.3" customHeight="1" s="75">
      <c r="A900" s="17" t="n"/>
      <c r="B900" s="1" t="n"/>
      <c r="C900" s="18" t="n"/>
      <c r="D900" s="18" t="n"/>
      <c r="E900" s="1" t="n"/>
      <c r="F900" s="18" t="n"/>
      <c r="G900" s="18" t="n"/>
      <c r="H900" s="18" t="n"/>
      <c r="I900" s="18" t="n"/>
      <c r="J900" s="18" t="n"/>
    </row>
    <row r="901" ht="12.3" customHeight="1" s="75">
      <c r="A901" s="17" t="n"/>
      <c r="B901" s="1" t="n"/>
      <c r="C901" s="18" t="n"/>
      <c r="D901" s="18" t="n"/>
      <c r="E901" s="1" t="n"/>
      <c r="F901" s="18" t="n"/>
      <c r="G901" s="18" t="n"/>
      <c r="H901" s="18" t="n"/>
      <c r="I901" s="18" t="n"/>
      <c r="J901" s="18" t="n"/>
    </row>
    <row r="902" ht="12.3" customHeight="1" s="75">
      <c r="A902" s="17" t="n"/>
      <c r="B902" s="1" t="n"/>
      <c r="C902" s="18" t="n"/>
      <c r="D902" s="18" t="n"/>
      <c r="E902" s="1" t="n"/>
      <c r="F902" s="18" t="n"/>
      <c r="G902" s="18" t="n"/>
      <c r="H902" s="18" t="n"/>
      <c r="I902" s="18" t="n"/>
      <c r="J902" s="18" t="n"/>
    </row>
    <row r="903" ht="12.3" customHeight="1" s="75">
      <c r="A903" s="17" t="n"/>
      <c r="B903" s="1" t="n"/>
      <c r="C903" s="18" t="n"/>
      <c r="D903" s="18" t="n"/>
      <c r="E903" s="1" t="n"/>
      <c r="F903" s="18" t="n"/>
      <c r="G903" s="18" t="n"/>
      <c r="H903" s="18" t="n"/>
      <c r="I903" s="18" t="n"/>
      <c r="J903" s="18" t="n"/>
    </row>
    <row r="904" ht="12.3" customHeight="1" s="75">
      <c r="A904" s="17" t="n"/>
      <c r="B904" s="1" t="n"/>
      <c r="C904" s="18" t="n"/>
      <c r="D904" s="18" t="n"/>
      <c r="E904" s="1" t="n"/>
      <c r="F904" s="18" t="n"/>
      <c r="G904" s="18" t="n"/>
      <c r="H904" s="18" t="n"/>
      <c r="I904" s="18" t="n"/>
      <c r="J904" s="18" t="n"/>
    </row>
    <row r="905" ht="12.3" customHeight="1" s="75">
      <c r="A905" s="17" t="n"/>
      <c r="B905" s="1" t="n"/>
      <c r="C905" s="18" t="n"/>
      <c r="D905" s="18" t="n"/>
      <c r="E905" s="1" t="n"/>
      <c r="F905" s="18" t="n"/>
      <c r="G905" s="18" t="n"/>
      <c r="H905" s="18" t="n"/>
      <c r="I905" s="18" t="n"/>
      <c r="J905" s="18" t="n"/>
    </row>
    <row r="906" ht="12.3" customHeight="1" s="75">
      <c r="A906" s="17" t="n"/>
      <c r="B906" s="1" t="n"/>
      <c r="C906" s="18" t="n"/>
      <c r="D906" s="18" t="n"/>
      <c r="E906" s="1" t="n"/>
      <c r="F906" s="18" t="n"/>
      <c r="G906" s="18" t="n"/>
      <c r="H906" s="18" t="n"/>
      <c r="I906" s="18" t="n"/>
      <c r="J906" s="18" t="n"/>
    </row>
    <row r="907" ht="12.3" customHeight="1" s="75">
      <c r="A907" s="17" t="n"/>
      <c r="B907" s="1" t="n"/>
      <c r="C907" s="18" t="n"/>
      <c r="D907" s="18" t="n"/>
      <c r="E907" s="1" t="n"/>
      <c r="F907" s="18" t="n"/>
      <c r="G907" s="18" t="n"/>
      <c r="H907" s="18" t="n"/>
      <c r="I907" s="18" t="n"/>
      <c r="J907" s="18" t="n"/>
    </row>
    <row r="908" ht="12.3" customHeight="1" s="75">
      <c r="A908" s="17" t="n"/>
      <c r="B908" s="1" t="n"/>
      <c r="C908" s="18" t="n"/>
      <c r="D908" s="18" t="n"/>
      <c r="E908" s="1" t="n"/>
      <c r="F908" s="18" t="n"/>
      <c r="G908" s="18" t="n"/>
      <c r="H908" s="18" t="n"/>
      <c r="I908" s="18" t="n"/>
      <c r="J908" s="18" t="n"/>
    </row>
    <row r="909" ht="12.3" customHeight="1" s="75">
      <c r="A909" s="17" t="n"/>
      <c r="B909" s="1" t="n"/>
      <c r="C909" s="18" t="n"/>
      <c r="D909" s="18" t="n"/>
      <c r="E909" s="1" t="n"/>
      <c r="F909" s="18" t="n"/>
      <c r="G909" s="18" t="n"/>
      <c r="H909" s="18" t="n"/>
      <c r="I909" s="18" t="n"/>
      <c r="J909" s="18" t="n"/>
    </row>
    <row r="910" ht="12.3" customHeight="1" s="75">
      <c r="A910" s="17" t="n"/>
      <c r="B910" s="1" t="n"/>
      <c r="C910" s="18" t="n"/>
      <c r="D910" s="18" t="n"/>
      <c r="E910" s="1" t="n"/>
      <c r="F910" s="18" t="n"/>
      <c r="G910" s="18" t="n"/>
      <c r="H910" s="18" t="n"/>
      <c r="I910" s="18" t="n"/>
      <c r="J910" s="18" t="n"/>
    </row>
    <row r="911" ht="12.3" customHeight="1" s="75">
      <c r="A911" s="17" t="n"/>
      <c r="B911" s="1" t="n"/>
      <c r="C911" s="18" t="n"/>
      <c r="D911" s="18" t="n"/>
      <c r="E911" s="1" t="n"/>
      <c r="F911" s="18" t="n"/>
      <c r="G911" s="18" t="n"/>
      <c r="H911" s="18" t="n"/>
      <c r="I911" s="18" t="n"/>
      <c r="J911" s="18" t="n"/>
    </row>
    <row r="912" ht="12.3" customHeight="1" s="75">
      <c r="A912" s="17" t="n"/>
      <c r="B912" s="1" t="n"/>
      <c r="C912" s="18" t="n"/>
      <c r="D912" s="18" t="n"/>
      <c r="E912" s="1" t="n"/>
      <c r="F912" s="18" t="n"/>
      <c r="G912" s="18" t="n"/>
      <c r="H912" s="18" t="n"/>
      <c r="I912" s="18" t="n"/>
      <c r="J912" s="18" t="n"/>
    </row>
    <row r="913" ht="12.3" customHeight="1" s="75">
      <c r="A913" s="17" t="n"/>
      <c r="B913" s="1" t="n"/>
      <c r="C913" s="18" t="n"/>
      <c r="D913" s="18" t="n"/>
      <c r="E913" s="1" t="n"/>
      <c r="F913" s="18" t="n"/>
      <c r="G913" s="18" t="n"/>
      <c r="H913" s="18" t="n"/>
      <c r="I913" s="18" t="n"/>
      <c r="J913" s="18" t="n"/>
    </row>
    <row r="914" ht="12.3" customHeight="1" s="75">
      <c r="A914" s="17" t="n"/>
      <c r="B914" s="1" t="n"/>
      <c r="C914" s="18" t="n"/>
      <c r="D914" s="18" t="n"/>
      <c r="E914" s="1" t="n"/>
      <c r="F914" s="18" t="n"/>
      <c r="G914" s="18" t="n"/>
      <c r="H914" s="18" t="n"/>
      <c r="I914" s="18" t="n"/>
      <c r="J914" s="18" t="n"/>
    </row>
    <row r="915" ht="12.3" customHeight="1" s="75">
      <c r="A915" s="17" t="n"/>
      <c r="B915" s="1" t="n"/>
      <c r="C915" s="18" t="n"/>
      <c r="D915" s="18" t="n"/>
      <c r="E915" s="1" t="n"/>
      <c r="F915" s="18" t="n"/>
      <c r="G915" s="18" t="n"/>
      <c r="H915" s="18" t="n"/>
      <c r="I915" s="18" t="n"/>
      <c r="J915" s="18" t="n"/>
    </row>
    <row r="916" ht="12.3" customHeight="1" s="75">
      <c r="A916" s="17" t="n"/>
      <c r="B916" s="1" t="n"/>
      <c r="C916" s="18" t="n"/>
      <c r="D916" s="18" t="n"/>
      <c r="E916" s="1" t="n"/>
      <c r="F916" s="18" t="n"/>
      <c r="G916" s="18" t="n"/>
      <c r="H916" s="18" t="n"/>
      <c r="I916" s="18" t="n"/>
      <c r="J916" s="18" t="n"/>
    </row>
    <row r="917" ht="12.3" customHeight="1" s="75">
      <c r="A917" s="17" t="n"/>
      <c r="B917" s="1" t="n"/>
      <c r="C917" s="18" t="n"/>
      <c r="D917" s="18" t="n"/>
      <c r="E917" s="1" t="n"/>
      <c r="F917" s="18" t="n"/>
      <c r="G917" s="18" t="n"/>
      <c r="H917" s="18" t="n"/>
      <c r="I917" s="18" t="n"/>
      <c r="J917" s="18" t="n"/>
    </row>
    <row r="918" ht="12.3" customHeight="1" s="75">
      <c r="A918" s="17" t="n"/>
      <c r="B918" s="1" t="n"/>
      <c r="C918" s="18" t="n"/>
      <c r="D918" s="18" t="n"/>
      <c r="E918" s="1" t="n"/>
      <c r="F918" s="18" t="n"/>
      <c r="G918" s="18" t="n"/>
      <c r="H918" s="18" t="n"/>
      <c r="I918" s="18" t="n"/>
      <c r="J918" s="18" t="n"/>
    </row>
    <row r="919" ht="12.3" customHeight="1" s="75">
      <c r="A919" s="17" t="n"/>
      <c r="B919" s="1" t="n"/>
      <c r="C919" s="18" t="n"/>
      <c r="D919" s="18" t="n"/>
      <c r="E919" s="1" t="n"/>
      <c r="F919" s="18" t="n"/>
      <c r="G919" s="18" t="n"/>
      <c r="H919" s="18" t="n"/>
      <c r="I919" s="18" t="n"/>
      <c r="J919" s="18" t="n"/>
    </row>
    <row r="920" ht="12.3" customHeight="1" s="75">
      <c r="A920" s="17" t="n"/>
      <c r="B920" s="1" t="n"/>
      <c r="C920" s="18" t="n"/>
      <c r="D920" s="18" t="n"/>
      <c r="E920" s="1" t="n"/>
      <c r="F920" s="18" t="n"/>
      <c r="G920" s="18" t="n"/>
      <c r="H920" s="18" t="n"/>
      <c r="I920" s="18" t="n"/>
      <c r="J920" s="18" t="n"/>
    </row>
    <row r="921" ht="12.3" customHeight="1" s="75">
      <c r="A921" s="17" t="n"/>
      <c r="B921" s="1" t="n"/>
      <c r="C921" s="18" t="n"/>
      <c r="D921" s="18" t="n"/>
      <c r="E921" s="1" t="n"/>
      <c r="F921" s="18" t="n"/>
      <c r="G921" s="18" t="n"/>
      <c r="H921" s="18" t="n"/>
      <c r="I921" s="18" t="n"/>
      <c r="J921" s="18" t="n"/>
    </row>
    <row r="922" ht="12.3" customHeight="1" s="75">
      <c r="A922" s="17" t="n"/>
      <c r="B922" s="1" t="n"/>
      <c r="C922" s="18" t="n"/>
      <c r="D922" s="18" t="n"/>
      <c r="E922" s="1" t="n"/>
      <c r="F922" s="18" t="n"/>
      <c r="G922" s="18" t="n"/>
      <c r="H922" s="18" t="n"/>
      <c r="I922" s="18" t="n"/>
      <c r="J922" s="18" t="n"/>
    </row>
    <row r="923" ht="12.3" customHeight="1" s="75">
      <c r="A923" s="17" t="n"/>
      <c r="B923" s="1" t="n"/>
      <c r="C923" s="18" t="n"/>
      <c r="D923" s="18" t="n"/>
      <c r="E923" s="1" t="n"/>
      <c r="F923" s="18" t="n"/>
      <c r="G923" s="18" t="n"/>
      <c r="H923" s="18" t="n"/>
      <c r="I923" s="18" t="n"/>
      <c r="J923" s="18" t="n"/>
    </row>
    <row r="924" ht="12.3" customHeight="1" s="75">
      <c r="A924" s="17" t="n"/>
      <c r="B924" s="1" t="n"/>
      <c r="C924" s="18" t="n"/>
      <c r="D924" s="18" t="n"/>
      <c r="E924" s="1" t="n"/>
      <c r="F924" s="18" t="n"/>
      <c r="G924" s="18" t="n"/>
      <c r="H924" s="18" t="n"/>
      <c r="I924" s="18" t="n"/>
      <c r="J924" s="18" t="n"/>
    </row>
    <row r="925" ht="12.3" customHeight="1" s="75">
      <c r="A925" s="17" t="n"/>
      <c r="B925" s="1" t="n"/>
      <c r="C925" s="18" t="n"/>
      <c r="D925" s="18" t="n"/>
      <c r="E925" s="1" t="n"/>
      <c r="F925" s="18" t="n"/>
      <c r="G925" s="18" t="n"/>
      <c r="H925" s="18" t="n"/>
      <c r="I925" s="18" t="n"/>
      <c r="J925" s="18" t="n"/>
    </row>
    <row r="926" ht="12.3" customHeight="1" s="75">
      <c r="A926" s="17" t="n"/>
      <c r="B926" s="1" t="n"/>
      <c r="C926" s="18" t="n"/>
      <c r="D926" s="18" t="n"/>
      <c r="E926" s="1" t="n"/>
      <c r="F926" s="18" t="n"/>
      <c r="G926" s="18" t="n"/>
      <c r="H926" s="18" t="n"/>
      <c r="I926" s="18" t="n"/>
      <c r="J926" s="18" t="n"/>
    </row>
    <row r="927" ht="12.3" customHeight="1" s="75">
      <c r="A927" s="17" t="n"/>
      <c r="B927" s="1" t="n"/>
      <c r="C927" s="18" t="n"/>
      <c r="D927" s="18" t="n"/>
      <c r="E927" s="1" t="n"/>
      <c r="F927" s="18" t="n"/>
      <c r="G927" s="18" t="n"/>
      <c r="H927" s="18" t="n"/>
      <c r="I927" s="18" t="n"/>
      <c r="J927" s="18" t="n"/>
    </row>
    <row r="928" ht="12.3" customHeight="1" s="75">
      <c r="A928" s="17" t="n"/>
      <c r="B928" s="1" t="n"/>
      <c r="C928" s="18" t="n"/>
      <c r="D928" s="18" t="n"/>
      <c r="E928" s="1" t="n"/>
      <c r="F928" s="18" t="n"/>
      <c r="G928" s="18" t="n"/>
      <c r="H928" s="18" t="n"/>
      <c r="I928" s="18" t="n"/>
      <c r="J928" s="18" t="n"/>
    </row>
    <row r="929" ht="12.3" customHeight="1" s="75">
      <c r="A929" s="17" t="n"/>
      <c r="B929" s="1" t="n"/>
      <c r="C929" s="18" t="n"/>
      <c r="D929" s="18" t="n"/>
      <c r="E929" s="1" t="n"/>
      <c r="F929" s="18" t="n"/>
      <c r="G929" s="18" t="n"/>
      <c r="H929" s="18" t="n"/>
      <c r="I929" s="18" t="n"/>
      <c r="J929" s="18" t="n"/>
    </row>
    <row r="930" ht="12.3" customHeight="1" s="75">
      <c r="A930" s="17" t="n"/>
      <c r="B930" s="1" t="n"/>
      <c r="C930" s="18" t="n"/>
      <c r="D930" s="18" t="n"/>
      <c r="E930" s="1" t="n"/>
      <c r="F930" s="18" t="n"/>
      <c r="G930" s="18" t="n"/>
      <c r="H930" s="18" t="n"/>
      <c r="I930" s="18" t="n"/>
      <c r="J930" s="18" t="n"/>
    </row>
    <row r="931" ht="12.3" customHeight="1" s="75">
      <c r="A931" s="17" t="n"/>
      <c r="B931" s="1" t="n"/>
      <c r="C931" s="18" t="n"/>
      <c r="D931" s="18" t="n"/>
      <c r="E931" s="1" t="n"/>
      <c r="F931" s="18" t="n"/>
      <c r="G931" s="18" t="n"/>
      <c r="H931" s="18" t="n"/>
      <c r="I931" s="18" t="n"/>
      <c r="J931" s="18" t="n"/>
    </row>
    <row r="932" ht="12.3" customHeight="1" s="75">
      <c r="A932" s="17" t="n"/>
      <c r="B932" s="1" t="n"/>
      <c r="C932" s="18" t="n"/>
      <c r="D932" s="18" t="n"/>
      <c r="E932" s="1" t="n"/>
      <c r="F932" s="18" t="n"/>
      <c r="G932" s="18" t="n"/>
      <c r="H932" s="18" t="n"/>
      <c r="I932" s="18" t="n"/>
      <c r="J932" s="18" t="n"/>
    </row>
    <row r="933" ht="12.3" customHeight="1" s="75">
      <c r="A933" s="17" t="n"/>
      <c r="B933" s="1" t="n"/>
      <c r="C933" s="18" t="n"/>
      <c r="D933" s="18" t="n"/>
      <c r="E933" s="1" t="n"/>
      <c r="F933" s="18" t="n"/>
      <c r="G933" s="18" t="n"/>
      <c r="H933" s="18" t="n"/>
      <c r="I933" s="18" t="n"/>
      <c r="J933" s="18" t="n"/>
    </row>
    <row r="934" ht="12.3" customHeight="1" s="75">
      <c r="A934" s="17" t="n"/>
      <c r="B934" s="1" t="n"/>
      <c r="C934" s="18" t="n"/>
      <c r="D934" s="18" t="n"/>
      <c r="E934" s="1" t="n"/>
      <c r="F934" s="18" t="n"/>
      <c r="G934" s="18" t="n"/>
      <c r="H934" s="18" t="n"/>
      <c r="I934" s="18" t="n"/>
      <c r="J934" s="18" t="n"/>
    </row>
    <row r="935" ht="12.3" customHeight="1" s="75">
      <c r="A935" s="17" t="n"/>
      <c r="B935" s="1" t="n"/>
      <c r="C935" s="18" t="n"/>
      <c r="D935" s="18" t="n"/>
      <c r="E935" s="1" t="n"/>
      <c r="F935" s="18" t="n"/>
      <c r="G935" s="18" t="n"/>
      <c r="H935" s="18" t="n"/>
      <c r="I935" s="18" t="n"/>
      <c r="J935" s="18" t="n"/>
    </row>
    <row r="936" ht="12.3" customHeight="1" s="75">
      <c r="A936" s="17" t="n"/>
      <c r="B936" s="1" t="n"/>
      <c r="C936" s="18" t="n"/>
      <c r="D936" s="18" t="n"/>
      <c r="E936" s="1" t="n"/>
      <c r="F936" s="18" t="n"/>
      <c r="G936" s="18" t="n"/>
      <c r="H936" s="18" t="n"/>
      <c r="I936" s="18" t="n"/>
      <c r="J936" s="18" t="n"/>
    </row>
    <row r="937" ht="12.3" customHeight="1" s="75">
      <c r="A937" s="17" t="n"/>
      <c r="B937" s="1" t="n"/>
      <c r="C937" s="18" t="n"/>
      <c r="D937" s="18" t="n"/>
      <c r="E937" s="1" t="n"/>
      <c r="F937" s="18" t="n"/>
      <c r="G937" s="18" t="n"/>
      <c r="H937" s="18" t="n"/>
      <c r="I937" s="18" t="n"/>
      <c r="J937" s="18" t="n"/>
    </row>
    <row r="938" ht="12.3" customHeight="1" s="75">
      <c r="A938" s="17" t="n"/>
      <c r="B938" s="1" t="n"/>
      <c r="C938" s="18" t="n"/>
      <c r="D938" s="18" t="n"/>
      <c r="E938" s="1" t="n"/>
      <c r="F938" s="18" t="n"/>
      <c r="G938" s="18" t="n"/>
      <c r="H938" s="18" t="n"/>
      <c r="I938" s="18" t="n"/>
      <c r="J938" s="18" t="n"/>
    </row>
    <row r="939" ht="12.3" customHeight="1" s="75">
      <c r="A939" s="17" t="n"/>
      <c r="B939" s="1" t="n"/>
      <c r="C939" s="18" t="n"/>
      <c r="D939" s="18" t="n"/>
      <c r="E939" s="1" t="n"/>
      <c r="F939" s="18" t="n"/>
      <c r="G939" s="18" t="n"/>
      <c r="H939" s="18" t="n"/>
      <c r="I939" s="18" t="n"/>
      <c r="J939" s="18" t="n"/>
    </row>
    <row r="940" ht="12.3" customHeight="1" s="75">
      <c r="A940" s="17" t="n"/>
      <c r="B940" s="1" t="n"/>
      <c r="C940" s="18" t="n"/>
      <c r="D940" s="18" t="n"/>
      <c r="E940" s="1" t="n"/>
      <c r="F940" s="18" t="n"/>
      <c r="G940" s="18" t="n"/>
      <c r="H940" s="18" t="n"/>
      <c r="I940" s="18" t="n"/>
      <c r="J940" s="18" t="n"/>
    </row>
    <row r="941" ht="12.3" customHeight="1" s="75">
      <c r="A941" s="17" t="n"/>
      <c r="B941" s="1" t="n"/>
      <c r="C941" s="18" t="n"/>
      <c r="D941" s="18" t="n"/>
      <c r="E941" s="1" t="n"/>
      <c r="F941" s="18" t="n"/>
      <c r="G941" s="18" t="n"/>
      <c r="H941" s="18" t="n"/>
      <c r="I941" s="18" t="n"/>
      <c r="J941" s="18" t="n"/>
    </row>
    <row r="942" ht="12.3" customHeight="1" s="75">
      <c r="A942" s="17" t="n"/>
      <c r="B942" s="1" t="n"/>
      <c r="C942" s="18" t="n"/>
      <c r="D942" s="18" t="n"/>
      <c r="E942" s="1" t="n"/>
      <c r="F942" s="18" t="n"/>
      <c r="G942" s="18" t="n"/>
      <c r="H942" s="18" t="n"/>
      <c r="I942" s="18" t="n"/>
      <c r="J942" s="18" t="n"/>
    </row>
    <row r="943" ht="12.3" customHeight="1" s="75">
      <c r="A943" s="17" t="n"/>
      <c r="B943" s="1" t="n"/>
      <c r="C943" s="18" t="n"/>
      <c r="D943" s="18" t="n"/>
      <c r="E943" s="1" t="n"/>
      <c r="F943" s="18" t="n"/>
      <c r="G943" s="18" t="n"/>
      <c r="H943" s="18" t="n"/>
      <c r="I943" s="18" t="n"/>
      <c r="J943" s="18" t="n"/>
    </row>
    <row r="944" ht="12.3" customHeight="1" s="75">
      <c r="A944" s="17" t="n"/>
      <c r="B944" s="1" t="n"/>
      <c r="C944" s="18" t="n"/>
      <c r="D944" s="18" t="n"/>
      <c r="E944" s="1" t="n"/>
      <c r="F944" s="18" t="n"/>
      <c r="G944" s="18" t="n"/>
      <c r="H944" s="18" t="n"/>
      <c r="I944" s="18" t="n"/>
      <c r="J944" s="18" t="n"/>
    </row>
    <row r="945" ht="12.3" customHeight="1" s="75">
      <c r="A945" s="17" t="n"/>
      <c r="B945" s="1" t="n"/>
      <c r="C945" s="18" t="n"/>
      <c r="D945" s="18" t="n"/>
      <c r="E945" s="1" t="n"/>
      <c r="F945" s="18" t="n"/>
      <c r="G945" s="18" t="n"/>
      <c r="H945" s="18" t="n"/>
      <c r="I945" s="18" t="n"/>
      <c r="J945" s="18" t="n"/>
    </row>
    <row r="946" ht="12.3" customHeight="1" s="75">
      <c r="A946" s="17" t="n"/>
      <c r="B946" s="1" t="n"/>
      <c r="C946" s="18" t="n"/>
      <c r="D946" s="18" t="n"/>
      <c r="E946" s="1" t="n"/>
      <c r="F946" s="18" t="n"/>
      <c r="G946" s="18" t="n"/>
      <c r="H946" s="18" t="n"/>
      <c r="I946" s="18" t="n"/>
      <c r="J946" s="18" t="n"/>
    </row>
    <row r="947" ht="12.3" customHeight="1" s="75">
      <c r="A947" s="17" t="n"/>
      <c r="B947" s="1" t="n"/>
      <c r="C947" s="18" t="n"/>
      <c r="D947" s="18" t="n"/>
      <c r="E947" s="1" t="n"/>
      <c r="F947" s="18" t="n"/>
      <c r="G947" s="18" t="n"/>
      <c r="H947" s="18" t="n"/>
      <c r="I947" s="18" t="n"/>
      <c r="J947" s="18" t="n"/>
    </row>
    <row r="948" ht="12.3" customHeight="1" s="75">
      <c r="A948" s="17" t="n"/>
      <c r="B948" s="1" t="n"/>
      <c r="C948" s="18" t="n"/>
      <c r="D948" s="18" t="n"/>
      <c r="E948" s="1" t="n"/>
      <c r="F948" s="18" t="n"/>
      <c r="G948" s="18" t="n"/>
      <c r="H948" s="18" t="n"/>
      <c r="I948" s="18" t="n"/>
      <c r="J948" s="18" t="n"/>
    </row>
    <row r="949" ht="12.3" customHeight="1" s="75">
      <c r="A949" s="17" t="n"/>
      <c r="B949" s="1" t="n"/>
      <c r="C949" s="18" t="n"/>
      <c r="D949" s="18" t="n"/>
      <c r="E949" s="1" t="n"/>
      <c r="F949" s="18" t="n"/>
      <c r="G949" s="18" t="n"/>
      <c r="H949" s="18" t="n"/>
      <c r="I949" s="18" t="n"/>
      <c r="J949" s="18" t="n"/>
    </row>
    <row r="950" ht="12.3" customHeight="1" s="75">
      <c r="A950" s="17" t="n"/>
      <c r="B950" s="1" t="n"/>
      <c r="C950" s="18" t="n"/>
      <c r="D950" s="18" t="n"/>
      <c r="E950" s="1" t="n"/>
      <c r="F950" s="18" t="n"/>
      <c r="G950" s="18" t="n"/>
      <c r="H950" s="18" t="n"/>
      <c r="I950" s="18" t="n"/>
      <c r="J950" s="18" t="n"/>
    </row>
    <row r="951" ht="12.3" customHeight="1" s="75">
      <c r="A951" s="17" t="n"/>
      <c r="B951" s="1" t="n"/>
      <c r="C951" s="18" t="n"/>
      <c r="D951" s="18" t="n"/>
      <c r="E951" s="1" t="n"/>
      <c r="F951" s="18" t="n"/>
      <c r="G951" s="18" t="n"/>
      <c r="H951" s="18" t="n"/>
      <c r="I951" s="18" t="n"/>
      <c r="J951" s="18" t="n"/>
    </row>
    <row r="952" ht="12.3" customHeight="1" s="75">
      <c r="A952" s="17" t="n"/>
      <c r="B952" s="1" t="n"/>
      <c r="C952" s="18" t="n"/>
      <c r="D952" s="18" t="n"/>
      <c r="E952" s="1" t="n"/>
      <c r="F952" s="18" t="n"/>
      <c r="G952" s="18" t="n"/>
      <c r="H952" s="18" t="n"/>
      <c r="I952" s="18" t="n"/>
      <c r="J952" s="18" t="n"/>
    </row>
    <row r="953" ht="12.3" customHeight="1" s="75">
      <c r="A953" s="17" t="n"/>
      <c r="B953" s="1" t="n"/>
      <c r="C953" s="18" t="n"/>
      <c r="D953" s="18" t="n"/>
      <c r="E953" s="1" t="n"/>
      <c r="F953" s="18" t="n"/>
      <c r="G953" s="18" t="n"/>
      <c r="H953" s="18" t="n"/>
      <c r="I953" s="18" t="n"/>
      <c r="J953" s="18" t="n"/>
    </row>
    <row r="954" ht="12.3" customHeight="1" s="75">
      <c r="A954" s="17" t="n"/>
      <c r="B954" s="1" t="n"/>
      <c r="C954" s="18" t="n"/>
      <c r="D954" s="18" t="n"/>
      <c r="E954" s="1" t="n"/>
      <c r="F954" s="18" t="n"/>
      <c r="G954" s="18" t="n"/>
      <c r="H954" s="18" t="n"/>
      <c r="I954" s="18" t="n"/>
      <c r="J954" s="18" t="n"/>
    </row>
    <row r="955" ht="12.3" customHeight="1" s="75">
      <c r="A955" s="17" t="n"/>
      <c r="B955" s="1" t="n"/>
      <c r="C955" s="18" t="n"/>
      <c r="D955" s="18" t="n"/>
      <c r="E955" s="1" t="n"/>
      <c r="F955" s="18" t="n"/>
      <c r="G955" s="18" t="n"/>
      <c r="H955" s="18" t="n"/>
      <c r="I955" s="18" t="n"/>
      <c r="J955" s="18" t="n"/>
    </row>
    <row r="956" ht="12.3" customHeight="1" s="75">
      <c r="A956" s="17" t="n"/>
      <c r="B956" s="1" t="n"/>
      <c r="C956" s="18" t="n"/>
      <c r="D956" s="18" t="n"/>
      <c r="E956" s="1" t="n"/>
      <c r="F956" s="18" t="n"/>
      <c r="G956" s="18" t="n"/>
      <c r="H956" s="18" t="n"/>
      <c r="I956" s="18" t="n"/>
      <c r="J956" s="18" t="n"/>
    </row>
    <row r="957" ht="12.3" customHeight="1" s="75">
      <c r="A957" s="17" t="n"/>
      <c r="B957" s="1" t="n"/>
      <c r="C957" s="18" t="n"/>
      <c r="D957" s="18" t="n"/>
      <c r="E957" s="1" t="n"/>
      <c r="F957" s="18" t="n"/>
      <c r="G957" s="18" t="n"/>
      <c r="H957" s="18" t="n"/>
      <c r="I957" s="18" t="n"/>
      <c r="J957" s="18" t="n"/>
    </row>
    <row r="958" ht="12.3" customHeight="1" s="75">
      <c r="A958" s="17" t="n"/>
      <c r="B958" s="1" t="n"/>
      <c r="C958" s="18" t="n"/>
      <c r="D958" s="18" t="n"/>
      <c r="E958" s="1" t="n"/>
      <c r="F958" s="18" t="n"/>
      <c r="G958" s="18" t="n"/>
      <c r="H958" s="18" t="n"/>
      <c r="I958" s="18" t="n"/>
      <c r="J958" s="18" t="n"/>
    </row>
    <row r="959" ht="12.3" customHeight="1" s="75">
      <c r="A959" s="17" t="n"/>
      <c r="B959" s="1" t="n"/>
      <c r="C959" s="18" t="n"/>
      <c r="D959" s="18" t="n"/>
      <c r="E959" s="1" t="n"/>
      <c r="F959" s="18" t="n"/>
      <c r="G959" s="18" t="n"/>
      <c r="H959" s="18" t="n"/>
      <c r="I959" s="18" t="n"/>
      <c r="J959" s="18" t="n"/>
    </row>
    <row r="960" ht="12.3" customHeight="1" s="75">
      <c r="A960" s="17" t="n"/>
      <c r="B960" s="1" t="n"/>
      <c r="C960" s="18" t="n"/>
      <c r="D960" s="18" t="n"/>
      <c r="E960" s="1" t="n"/>
      <c r="F960" s="18" t="n"/>
      <c r="G960" s="18" t="n"/>
      <c r="H960" s="18" t="n"/>
      <c r="I960" s="18" t="n"/>
      <c r="J960" s="18" t="n"/>
    </row>
    <row r="961" ht="12.3" customHeight="1" s="75">
      <c r="A961" s="17" t="n"/>
      <c r="B961" s="1" t="n"/>
      <c r="C961" s="18" t="n"/>
      <c r="D961" s="18" t="n"/>
      <c r="E961" s="1" t="n"/>
      <c r="F961" s="18" t="n"/>
      <c r="G961" s="18" t="n"/>
      <c r="H961" s="18" t="n"/>
      <c r="I961" s="18" t="n"/>
      <c r="J961" s="18" t="n"/>
    </row>
    <row r="962" ht="12.3" customHeight="1" s="75">
      <c r="A962" s="17" t="n"/>
      <c r="B962" s="1" t="n"/>
      <c r="C962" s="18" t="n"/>
      <c r="D962" s="18" t="n"/>
      <c r="E962" s="1" t="n"/>
      <c r="F962" s="18" t="n"/>
      <c r="G962" s="18" t="n"/>
      <c r="H962" s="18" t="n"/>
      <c r="I962" s="18" t="n"/>
      <c r="J962" s="18" t="n"/>
    </row>
    <row r="963" ht="12.3" customHeight="1" s="75">
      <c r="A963" s="17" t="n"/>
      <c r="B963" s="1" t="n"/>
      <c r="C963" s="18" t="n"/>
      <c r="D963" s="18" t="n"/>
      <c r="E963" s="1" t="n"/>
      <c r="F963" s="18" t="n"/>
      <c r="G963" s="18" t="n"/>
      <c r="H963" s="18" t="n"/>
      <c r="I963" s="18" t="n"/>
      <c r="J963" s="18" t="n"/>
    </row>
    <row r="964" ht="12.3" customHeight="1" s="75">
      <c r="A964" s="17" t="n"/>
      <c r="B964" s="1" t="n"/>
      <c r="C964" s="18" t="n"/>
      <c r="D964" s="18" t="n"/>
      <c r="E964" s="1" t="n"/>
      <c r="F964" s="18" t="n"/>
      <c r="G964" s="18" t="n"/>
      <c r="H964" s="18" t="n"/>
      <c r="I964" s="18" t="n"/>
      <c r="J964" s="18" t="n"/>
    </row>
    <row r="965" ht="12.3" customHeight="1" s="75">
      <c r="A965" s="17" t="n"/>
      <c r="B965" s="1" t="n"/>
      <c r="C965" s="18" t="n"/>
      <c r="D965" s="18" t="n"/>
      <c r="E965" s="1" t="n"/>
      <c r="F965" s="18" t="n"/>
      <c r="G965" s="18" t="n"/>
      <c r="H965" s="18" t="n"/>
      <c r="I965" s="18" t="n"/>
      <c r="J965" s="18" t="n"/>
    </row>
    <row r="966" ht="12.3" customHeight="1" s="75">
      <c r="A966" s="17" t="n"/>
      <c r="B966" s="1" t="n"/>
      <c r="C966" s="18" t="n"/>
      <c r="D966" s="18" t="n"/>
      <c r="E966" s="1" t="n"/>
      <c r="F966" s="18" t="n"/>
      <c r="G966" s="18" t="n"/>
      <c r="H966" s="18" t="n"/>
      <c r="I966" s="18" t="n"/>
      <c r="J966" s="18" t="n"/>
    </row>
    <row r="967" ht="12.3" customHeight="1" s="75">
      <c r="A967" s="17" t="n"/>
      <c r="B967" s="1" t="n"/>
      <c r="C967" s="18" t="n"/>
      <c r="D967" s="18" t="n"/>
      <c r="E967" s="1" t="n"/>
      <c r="F967" s="18" t="n"/>
      <c r="G967" s="18" t="n"/>
      <c r="H967" s="18" t="n"/>
      <c r="I967" s="18" t="n"/>
      <c r="J967" s="18" t="n"/>
    </row>
    <row r="968" ht="12.3" customHeight="1" s="75">
      <c r="A968" s="17" t="n"/>
      <c r="B968" s="1" t="n"/>
      <c r="C968" s="18" t="n"/>
      <c r="D968" s="18" t="n"/>
      <c r="E968" s="1" t="n"/>
      <c r="F968" s="18" t="n"/>
      <c r="G968" s="18" t="n"/>
      <c r="H968" s="18" t="n"/>
      <c r="I968" s="18" t="n"/>
      <c r="J968" s="18" t="n"/>
    </row>
    <row r="969" ht="12.3" customHeight="1" s="75">
      <c r="A969" s="17" t="n"/>
      <c r="B969" s="1" t="n"/>
      <c r="C969" s="18" t="n"/>
      <c r="D969" s="18" t="n"/>
      <c r="E969" s="1" t="n"/>
      <c r="F969" s="18" t="n"/>
      <c r="G969" s="18" t="n"/>
      <c r="H969" s="18" t="n"/>
      <c r="I969" s="18" t="n"/>
      <c r="J969" s="18" t="n"/>
    </row>
    <row r="970" ht="12.3" customHeight="1" s="75">
      <c r="A970" s="17" t="n"/>
      <c r="B970" s="1" t="n"/>
      <c r="C970" s="18" t="n"/>
      <c r="D970" s="18" t="n"/>
      <c r="E970" s="1" t="n"/>
      <c r="F970" s="18" t="n"/>
      <c r="G970" s="18" t="n"/>
      <c r="H970" s="18" t="n"/>
      <c r="I970" s="18" t="n"/>
      <c r="J970" s="18" t="n"/>
    </row>
    <row r="971" ht="12.3" customHeight="1" s="75">
      <c r="A971" s="17" t="n"/>
      <c r="B971" s="1" t="n"/>
      <c r="C971" s="18" t="n"/>
      <c r="D971" s="18" t="n"/>
      <c r="E971" s="1" t="n"/>
      <c r="F971" s="18" t="n"/>
      <c r="G971" s="18" t="n"/>
      <c r="H971" s="18" t="n"/>
      <c r="I971" s="18" t="n"/>
      <c r="J971" s="18" t="n"/>
    </row>
    <row r="972" ht="12.3" customHeight="1" s="75">
      <c r="A972" s="17" t="n"/>
      <c r="B972" s="1" t="n"/>
      <c r="C972" s="18" t="n"/>
      <c r="D972" s="18" t="n"/>
      <c r="E972" s="1" t="n"/>
      <c r="F972" s="18" t="n"/>
      <c r="G972" s="18" t="n"/>
      <c r="H972" s="18" t="n"/>
      <c r="I972" s="18" t="n"/>
      <c r="J972" s="18" t="n"/>
    </row>
    <row r="973" ht="12.3" customHeight="1" s="75">
      <c r="A973" s="17" t="n"/>
      <c r="B973" s="1" t="n"/>
      <c r="C973" s="18" t="n"/>
      <c r="D973" s="18" t="n"/>
      <c r="E973" s="1" t="n"/>
      <c r="F973" s="18" t="n"/>
      <c r="G973" s="18" t="n"/>
      <c r="H973" s="18" t="n"/>
      <c r="I973" s="18" t="n"/>
      <c r="J973" s="18" t="n"/>
    </row>
    <row r="974" ht="12.3" customHeight="1" s="75">
      <c r="A974" s="17" t="n"/>
      <c r="B974" s="1" t="n"/>
      <c r="C974" s="18" t="n"/>
      <c r="D974" s="18" t="n"/>
      <c r="E974" s="1" t="n"/>
      <c r="F974" s="18" t="n"/>
      <c r="G974" s="18" t="n"/>
      <c r="H974" s="18" t="n"/>
      <c r="I974" s="18" t="n"/>
      <c r="J974" s="18" t="n"/>
    </row>
    <row r="975" ht="12.3" customHeight="1" s="75">
      <c r="A975" s="17" t="n"/>
      <c r="B975" s="1" t="n"/>
      <c r="C975" s="18" t="n"/>
      <c r="D975" s="18" t="n"/>
      <c r="E975" s="1" t="n"/>
      <c r="F975" s="18" t="n"/>
      <c r="G975" s="18" t="n"/>
      <c r="H975" s="18" t="n"/>
      <c r="I975" s="18" t="n"/>
      <c r="J975" s="18" t="n"/>
    </row>
    <row r="976" ht="12.3" customHeight="1" s="75">
      <c r="A976" s="17" t="n"/>
      <c r="B976" s="1" t="n"/>
      <c r="C976" s="18" t="n"/>
      <c r="D976" s="18" t="n"/>
      <c r="E976" s="1" t="n"/>
      <c r="F976" s="18" t="n"/>
      <c r="G976" s="18" t="n"/>
      <c r="H976" s="18" t="n"/>
      <c r="I976" s="18" t="n"/>
      <c r="J976" s="18" t="n"/>
    </row>
    <row r="977" ht="12.3" customHeight="1" s="75">
      <c r="A977" s="17" t="n"/>
      <c r="B977" s="1" t="n"/>
      <c r="C977" s="18" t="n"/>
      <c r="D977" s="18" t="n"/>
      <c r="E977" s="1" t="n"/>
      <c r="F977" s="18" t="n"/>
      <c r="G977" s="18" t="n"/>
      <c r="H977" s="18" t="n"/>
      <c r="I977" s="18" t="n"/>
      <c r="J977" s="18" t="n"/>
    </row>
    <row r="978" ht="12.3" customHeight="1" s="75">
      <c r="A978" s="17" t="n"/>
      <c r="B978" s="1" t="n"/>
      <c r="C978" s="18" t="n"/>
      <c r="D978" s="18" t="n"/>
      <c r="E978" s="1" t="n"/>
      <c r="F978" s="18" t="n"/>
      <c r="G978" s="18" t="n"/>
      <c r="H978" s="18" t="n"/>
      <c r="I978" s="18" t="n"/>
      <c r="J978" s="18" t="n"/>
    </row>
    <row r="979" ht="12.3" customHeight="1" s="75">
      <c r="A979" s="17" t="n"/>
      <c r="B979" s="1" t="n"/>
      <c r="C979" s="18" t="n"/>
      <c r="D979" s="18" t="n"/>
      <c r="E979" s="1" t="n"/>
      <c r="F979" s="18" t="n"/>
      <c r="G979" s="18" t="n"/>
      <c r="H979" s="18" t="n"/>
      <c r="I979" s="18" t="n"/>
      <c r="J979" s="18" t="n"/>
    </row>
    <row r="980" ht="12.3" customHeight="1" s="75">
      <c r="A980" s="17" t="n"/>
      <c r="B980" s="1" t="n"/>
      <c r="C980" s="18" t="n"/>
      <c r="D980" s="18" t="n"/>
      <c r="E980" s="1" t="n"/>
      <c r="F980" s="18" t="n"/>
      <c r="G980" s="18" t="n"/>
      <c r="H980" s="18" t="n"/>
      <c r="I980" s="18" t="n"/>
      <c r="J980" s="18" t="n"/>
    </row>
    <row r="981" ht="12.3" customHeight="1" s="75">
      <c r="A981" s="17" t="n"/>
      <c r="B981" s="1" t="n"/>
      <c r="C981" s="18" t="n"/>
      <c r="D981" s="18" t="n"/>
      <c r="E981" s="1" t="n"/>
      <c r="F981" s="18" t="n"/>
      <c r="G981" s="18" t="n"/>
      <c r="H981" s="18" t="n"/>
      <c r="I981" s="18" t="n"/>
      <c r="J981" s="18" t="n"/>
    </row>
    <row r="982" ht="12.3" customHeight="1" s="75">
      <c r="A982" s="17" t="n"/>
      <c r="B982" s="1" t="n"/>
      <c r="C982" s="18" t="n"/>
      <c r="D982" s="18" t="n"/>
      <c r="E982" s="1" t="n"/>
      <c r="F982" s="18" t="n"/>
      <c r="G982" s="18" t="n"/>
      <c r="H982" s="18" t="n"/>
      <c r="I982" s="18" t="n"/>
      <c r="J982" s="18" t="n"/>
    </row>
    <row r="983" ht="12.3" customHeight="1" s="75">
      <c r="A983" s="17" t="n"/>
      <c r="B983" s="1" t="n"/>
      <c r="C983" s="18" t="n"/>
      <c r="D983" s="18" t="n"/>
      <c r="E983" s="1" t="n"/>
      <c r="F983" s="18" t="n"/>
      <c r="G983" s="18" t="n"/>
      <c r="H983" s="18" t="n"/>
      <c r="I983" s="18" t="n"/>
      <c r="J983" s="18" t="n"/>
    </row>
    <row r="984" ht="12.3" customHeight="1" s="75">
      <c r="A984" s="17" t="n"/>
      <c r="B984" s="1" t="n"/>
      <c r="C984" s="18" t="n"/>
      <c r="D984" s="18" t="n"/>
      <c r="E984" s="1" t="n"/>
      <c r="F984" s="18" t="n"/>
      <c r="G984" s="18" t="n"/>
      <c r="H984" s="18" t="n"/>
      <c r="I984" s="18" t="n"/>
      <c r="J984" s="18" t="n"/>
    </row>
    <row r="985" ht="12.3" customHeight="1" s="75">
      <c r="A985" s="17" t="n"/>
      <c r="B985" s="1" t="n"/>
      <c r="C985" s="18" t="n"/>
      <c r="D985" s="18" t="n"/>
      <c r="E985" s="1" t="n"/>
      <c r="F985" s="18" t="n"/>
      <c r="G985" s="18" t="n"/>
      <c r="H985" s="18" t="n"/>
      <c r="I985" s="18" t="n"/>
      <c r="J985" s="18" t="n"/>
    </row>
    <row r="986" ht="12.3" customHeight="1" s="75">
      <c r="A986" s="17" t="n"/>
      <c r="B986" s="1" t="n"/>
      <c r="C986" s="18" t="n"/>
      <c r="D986" s="18" t="n"/>
      <c r="E986" s="1" t="n"/>
      <c r="F986" s="18" t="n"/>
      <c r="G986" s="18" t="n"/>
      <c r="H986" s="18" t="n"/>
      <c r="I986" s="18" t="n"/>
      <c r="J986" s="18" t="n"/>
    </row>
    <row r="987" ht="12.3" customHeight="1" s="75">
      <c r="A987" s="17" t="n"/>
      <c r="B987" s="1" t="n"/>
      <c r="C987" s="18" t="n"/>
      <c r="D987" s="18" t="n"/>
      <c r="E987" s="1" t="n"/>
      <c r="F987" s="18" t="n"/>
      <c r="G987" s="18" t="n"/>
      <c r="H987" s="18" t="n"/>
      <c r="I987" s="18" t="n"/>
      <c r="J987" s="18" t="n"/>
    </row>
    <row r="988" ht="12.3" customHeight="1" s="75">
      <c r="A988" s="17" t="n"/>
      <c r="B988" s="1" t="n"/>
      <c r="C988" s="18" t="n"/>
      <c r="D988" s="18" t="n"/>
      <c r="E988" s="1" t="n"/>
      <c r="F988" s="18" t="n"/>
      <c r="G988" s="18" t="n"/>
      <c r="H988" s="18" t="n"/>
      <c r="I988" s="18" t="n"/>
      <c r="J988" s="18" t="n"/>
    </row>
    <row r="989" ht="12.3" customHeight="1" s="75">
      <c r="A989" s="17" t="n"/>
      <c r="B989" s="1" t="n"/>
      <c r="C989" s="18" t="n"/>
      <c r="D989" s="18" t="n"/>
      <c r="E989" s="1" t="n"/>
      <c r="F989" s="18" t="n"/>
      <c r="G989" s="18" t="n"/>
      <c r="H989" s="18" t="n"/>
      <c r="I989" s="18" t="n"/>
      <c r="J989" s="18" t="n"/>
    </row>
    <row r="990" ht="12.3" customHeight="1" s="75">
      <c r="A990" s="17" t="n"/>
      <c r="B990" s="1" t="n"/>
      <c r="C990" s="18" t="n"/>
      <c r="D990" s="18" t="n"/>
      <c r="E990" s="1" t="n"/>
      <c r="F990" s="18" t="n"/>
      <c r="G990" s="18" t="n"/>
      <c r="H990" s="18" t="n"/>
      <c r="I990" s="18" t="n"/>
      <c r="J990" s="18" t="n"/>
    </row>
    <row r="991" ht="12.3" customHeight="1" s="75">
      <c r="A991" s="17" t="n"/>
      <c r="B991" s="1" t="n"/>
      <c r="C991" s="18" t="n"/>
      <c r="D991" s="18" t="n"/>
      <c r="E991" s="1" t="n"/>
      <c r="F991" s="18" t="n"/>
      <c r="G991" s="18" t="n"/>
      <c r="H991" s="18" t="n"/>
      <c r="I991" s="18" t="n"/>
      <c r="J991" s="18" t="n"/>
    </row>
    <row r="992" ht="12.3" customHeight="1" s="75">
      <c r="A992" s="17" t="n"/>
      <c r="B992" s="1" t="n"/>
      <c r="C992" s="18" t="n"/>
      <c r="D992" s="18" t="n"/>
      <c r="E992" s="1" t="n"/>
      <c r="F992" s="18" t="n"/>
      <c r="G992" s="18" t="n"/>
      <c r="H992" s="18" t="n"/>
      <c r="I992" s="18" t="n"/>
      <c r="J992" s="18" t="n"/>
    </row>
    <row r="993" ht="12.3" customHeight="1" s="75">
      <c r="A993" s="17" t="n"/>
      <c r="B993" s="1" t="n"/>
      <c r="C993" s="18" t="n"/>
      <c r="D993" s="18" t="n"/>
      <c r="E993" s="1" t="n"/>
      <c r="F993" s="18" t="n"/>
      <c r="G993" s="18" t="n"/>
      <c r="H993" s="18" t="n"/>
      <c r="I993" s="18" t="n"/>
      <c r="J993" s="18" t="n"/>
    </row>
    <row r="994" ht="12.3" customHeight="1" s="75">
      <c r="A994" s="17" t="n"/>
      <c r="B994" s="1" t="n"/>
      <c r="C994" s="18" t="n"/>
      <c r="D994" s="18" t="n"/>
      <c r="E994" s="1" t="n"/>
      <c r="F994" s="18" t="n"/>
      <c r="G994" s="18" t="n"/>
      <c r="H994" s="18" t="n"/>
      <c r="I994" s="18" t="n"/>
      <c r="J994" s="18" t="n"/>
    </row>
    <row r="995" ht="12.3" customHeight="1" s="75">
      <c r="A995" s="17" t="n"/>
      <c r="B995" s="1" t="n"/>
      <c r="C995" s="18" t="n"/>
      <c r="D995" s="18" t="n"/>
      <c r="E995" s="1" t="n"/>
      <c r="F995" s="18" t="n"/>
      <c r="G995" s="18" t="n"/>
      <c r="H995" s="18" t="n"/>
      <c r="I995" s="18" t="n"/>
      <c r="J995" s="18" t="n"/>
    </row>
    <row r="996" ht="12.3" customHeight="1" s="75">
      <c r="A996" s="17" t="n"/>
      <c r="B996" s="1" t="n"/>
      <c r="C996" s="18" t="n"/>
      <c r="D996" s="18" t="n"/>
      <c r="E996" s="1" t="n"/>
      <c r="F996" s="18" t="n"/>
      <c r="G996" s="18" t="n"/>
      <c r="H996" s="18" t="n"/>
      <c r="I996" s="18" t="n"/>
      <c r="J996" s="18" t="n"/>
    </row>
    <row r="997" ht="12.3" customHeight="1" s="75">
      <c r="A997" s="17" t="n"/>
      <c r="B997" s="1" t="n"/>
      <c r="C997" s="18" t="n"/>
      <c r="D997" s="18" t="n"/>
      <c r="E997" s="1" t="n"/>
      <c r="F997" s="18" t="n"/>
      <c r="G997" s="18" t="n"/>
      <c r="H997" s="18" t="n"/>
      <c r="I997" s="18" t="n"/>
      <c r="J997" s="18" t="n"/>
    </row>
    <row r="998" ht="12.3" customHeight="1" s="75">
      <c r="A998" s="17" t="n"/>
      <c r="B998" s="1" t="n"/>
      <c r="C998" s="18" t="n"/>
      <c r="D998" s="18" t="n"/>
      <c r="E998" s="1" t="n"/>
      <c r="F998" s="18" t="n"/>
      <c r="G998" s="18" t="n"/>
      <c r="H998" s="18" t="n"/>
      <c r="I998" s="18" t="n"/>
      <c r="J998" s="18" t="n"/>
    </row>
    <row r="999" ht="12.3" customHeight="1" s="75">
      <c r="A999" s="17" t="n"/>
      <c r="B999" s="1" t="n"/>
      <c r="C999" s="18" t="n"/>
      <c r="D999" s="18" t="n"/>
      <c r="E999" s="1" t="n"/>
      <c r="F999" s="18" t="n"/>
      <c r="G999" s="18" t="n"/>
      <c r="H999" s="18" t="n"/>
      <c r="I999" s="18" t="n"/>
      <c r="J999" s="18" t="n"/>
    </row>
    <row r="1000" ht="12.3" customHeight="1" s="75">
      <c r="A1000" s="17" t="n"/>
      <c r="B1000" s="1" t="n"/>
      <c r="C1000" s="18" t="n"/>
      <c r="D1000" s="18" t="n"/>
      <c r="E1000" s="1" t="n"/>
      <c r="F1000" s="18" t="n"/>
      <c r="G1000" s="18" t="n"/>
      <c r="H1000" s="18" t="n"/>
      <c r="I1000" s="18" t="n"/>
      <c r="J1000" s="18" t="n"/>
    </row>
    <row r="1001" ht="12.3" customHeight="1" s="75">
      <c r="A1001" s="17" t="n"/>
      <c r="B1001" s="1" t="n"/>
      <c r="C1001" s="18" t="n"/>
      <c r="D1001" s="18" t="n"/>
      <c r="E1001" s="1" t="n"/>
      <c r="F1001" s="18" t="n"/>
      <c r="G1001" s="18" t="n"/>
      <c r="H1001" s="18" t="n"/>
      <c r="I1001" s="18" t="n"/>
      <c r="J1001" s="18" t="n"/>
    </row>
    <row r="1002" ht="12.3" customHeight="1" s="75">
      <c r="A1002" s="17" t="n"/>
      <c r="B1002" s="1" t="n"/>
      <c r="C1002" s="18" t="n"/>
      <c r="D1002" s="18" t="n"/>
      <c r="E1002" s="1" t="n"/>
      <c r="F1002" s="18" t="n"/>
      <c r="G1002" s="18" t="n"/>
      <c r="H1002" s="18" t="n"/>
      <c r="I1002" s="18" t="n"/>
      <c r="J1002" s="18" t="n"/>
    </row>
    <row r="1003" ht="12.3" customHeight="1" s="75">
      <c r="A1003" s="17" t="n"/>
      <c r="B1003" s="1" t="n"/>
      <c r="C1003" s="18" t="n"/>
      <c r="D1003" s="18" t="n"/>
      <c r="E1003" s="1" t="n"/>
      <c r="F1003" s="18" t="n"/>
      <c r="G1003" s="18" t="n"/>
      <c r="H1003" s="18" t="n"/>
      <c r="I1003" s="18" t="n"/>
      <c r="J1003" s="18" t="n"/>
    </row>
    <row r="1004" ht="12.3" customHeight="1" s="75">
      <c r="A1004" s="17" t="n"/>
      <c r="B1004" s="1" t="n"/>
      <c r="C1004" s="18" t="n"/>
      <c r="D1004" s="18" t="n"/>
      <c r="E1004" s="1" t="n"/>
      <c r="F1004" s="18" t="n"/>
      <c r="G1004" s="18" t="n"/>
      <c r="H1004" s="18" t="n"/>
      <c r="I1004" s="18" t="n"/>
      <c r="J1004" s="18" t="n"/>
    </row>
    <row r="1005" ht="12.3" customHeight="1" s="75">
      <c r="A1005" s="17" t="n"/>
      <c r="B1005" s="1" t="n"/>
      <c r="C1005" s="18" t="n"/>
      <c r="D1005" s="18" t="n"/>
      <c r="E1005" s="1" t="n"/>
      <c r="F1005" s="18" t="n"/>
      <c r="G1005" s="18" t="n"/>
      <c r="H1005" s="18" t="n"/>
      <c r="I1005" s="18" t="n"/>
      <c r="J1005" s="18" t="n"/>
    </row>
    <row r="1006" ht="12.3" customHeight="1" s="75">
      <c r="A1006" s="17" t="n"/>
      <c r="B1006" s="1" t="n"/>
      <c r="C1006" s="18" t="n"/>
      <c r="D1006" s="18" t="n"/>
      <c r="E1006" s="1" t="n"/>
      <c r="F1006" s="18" t="n"/>
      <c r="G1006" s="18" t="n"/>
      <c r="H1006" s="18" t="n"/>
      <c r="I1006" s="18" t="n"/>
      <c r="J1006" s="18" t="n"/>
    </row>
    <row r="1007" ht="12.3" customHeight="1" s="75">
      <c r="A1007" s="17" t="n"/>
      <c r="B1007" s="1" t="n"/>
      <c r="C1007" s="18" t="n"/>
      <c r="D1007" s="18" t="n"/>
      <c r="E1007" s="1" t="n"/>
      <c r="F1007" s="18" t="n"/>
      <c r="G1007" s="18" t="n"/>
      <c r="H1007" s="18" t="n"/>
      <c r="I1007" s="18" t="n"/>
      <c r="J1007" s="18" t="n"/>
    </row>
    <row r="1008" ht="12.3" customHeight="1" s="75">
      <c r="A1008" s="17" t="n"/>
      <c r="B1008" s="1" t="n"/>
      <c r="C1008" s="18" t="n"/>
      <c r="D1008" s="18" t="n"/>
      <c r="E1008" s="1" t="n"/>
      <c r="F1008" s="18" t="n"/>
      <c r="G1008" s="18" t="n"/>
      <c r="H1008" s="18" t="n"/>
      <c r="I1008" s="18" t="n"/>
      <c r="J1008" s="18" t="n"/>
    </row>
    <row r="1009" ht="12.3" customHeight="1" s="75">
      <c r="A1009" s="17" t="n"/>
      <c r="B1009" s="1" t="n"/>
      <c r="C1009" s="18" t="n"/>
      <c r="D1009" s="18" t="n"/>
      <c r="E1009" s="1" t="n"/>
      <c r="F1009" s="18" t="n"/>
      <c r="G1009" s="18" t="n"/>
      <c r="H1009" s="18" t="n"/>
      <c r="I1009" s="18" t="n"/>
      <c r="J1009" s="18" t="n"/>
    </row>
    <row r="1010" ht="12.3" customHeight="1" s="75">
      <c r="A1010" s="17" t="n"/>
      <c r="B1010" s="1" t="n"/>
      <c r="C1010" s="18" t="n"/>
      <c r="D1010" s="18" t="n"/>
      <c r="E1010" s="1" t="n"/>
      <c r="F1010" s="18" t="n"/>
      <c r="G1010" s="18" t="n"/>
      <c r="H1010" s="18" t="n"/>
      <c r="I1010" s="18" t="n"/>
      <c r="J1010" s="18" t="n"/>
    </row>
    <row r="1011" ht="12.3" customHeight="1" s="75">
      <c r="A1011" s="17" t="n"/>
      <c r="B1011" s="1" t="n"/>
      <c r="C1011" s="18" t="n"/>
      <c r="D1011" s="18" t="n"/>
      <c r="E1011" s="1" t="n"/>
      <c r="F1011" s="18" t="n"/>
      <c r="G1011" s="18" t="n"/>
      <c r="H1011" s="18" t="n"/>
      <c r="I1011" s="18" t="n"/>
      <c r="J1011" s="18" t="n"/>
    </row>
    <row r="1012" ht="12.3" customHeight="1" s="75">
      <c r="A1012" s="17" t="n"/>
      <c r="B1012" s="1" t="n"/>
      <c r="C1012" s="18" t="n"/>
      <c r="D1012" s="18" t="n"/>
      <c r="E1012" s="1" t="n"/>
      <c r="F1012" s="18" t="n"/>
      <c r="G1012" s="18" t="n"/>
      <c r="H1012" s="18" t="n"/>
      <c r="I1012" s="18" t="n"/>
      <c r="J1012" s="18" t="n"/>
    </row>
    <row r="1013" ht="12.3" customHeight="1" s="75">
      <c r="A1013" s="17" t="n"/>
      <c r="B1013" s="1" t="n"/>
      <c r="C1013" s="18" t="n"/>
      <c r="D1013" s="18" t="n"/>
      <c r="E1013" s="1" t="n"/>
      <c r="F1013" s="18" t="n"/>
      <c r="G1013" s="18" t="n"/>
      <c r="H1013" s="18" t="n"/>
      <c r="I1013" s="18" t="n"/>
      <c r="J1013" s="18" t="n"/>
    </row>
    <row r="1014" ht="12.3" customHeight="1" s="75">
      <c r="A1014" s="17" t="n"/>
      <c r="B1014" s="1" t="n"/>
      <c r="C1014" s="18" t="n"/>
      <c r="D1014" s="18" t="n"/>
      <c r="E1014" s="1" t="n"/>
      <c r="F1014" s="18" t="n"/>
      <c r="G1014" s="18" t="n"/>
      <c r="H1014" s="18" t="n"/>
      <c r="I1014" s="18" t="n"/>
      <c r="J1014" s="18" t="n"/>
    </row>
    <row r="1015" ht="12.3" customHeight="1" s="75">
      <c r="A1015" s="17" t="n"/>
      <c r="B1015" s="1" t="n"/>
      <c r="C1015" s="18" t="n"/>
      <c r="D1015" s="18" t="n"/>
      <c r="E1015" s="1" t="n"/>
      <c r="F1015" s="18" t="n"/>
      <c r="G1015" s="18" t="n"/>
      <c r="H1015" s="18" t="n"/>
      <c r="I1015" s="18" t="n"/>
      <c r="J1015" s="18" t="n"/>
    </row>
    <row r="1016" ht="12.3" customHeight="1" s="75">
      <c r="A1016" s="17" t="n"/>
      <c r="B1016" s="1" t="n"/>
      <c r="C1016" s="18" t="n"/>
      <c r="D1016" s="18" t="n"/>
      <c r="E1016" s="1" t="n"/>
      <c r="F1016" s="18" t="n"/>
      <c r="G1016" s="18" t="n"/>
      <c r="H1016" s="18" t="n"/>
      <c r="I1016" s="18" t="n"/>
      <c r="J1016" s="18" t="n"/>
    </row>
  </sheetData>
  <mergeCells count="17">
    <mergeCell ref="A4:B4"/>
    <mergeCell ref="B8:C8"/>
    <mergeCell ref="A2:I2"/>
    <mergeCell ref="C6:D6"/>
    <mergeCell ref="C7:D7"/>
    <mergeCell ref="A7:B7"/>
    <mergeCell ref="G42:H42"/>
    <mergeCell ref="C5:D5"/>
    <mergeCell ref="A5:B5"/>
    <mergeCell ref="G41:H41"/>
    <mergeCell ref="B42:C42"/>
    <mergeCell ref="G40:H40"/>
    <mergeCell ref="B41:C41"/>
    <mergeCell ref="C3:D3"/>
    <mergeCell ref="A3:B3"/>
    <mergeCell ref="A6:B6"/>
    <mergeCell ref="C4:D4"/>
  </mergeCells>
  <dataValidations count="1">
    <dataValidation sqref="A10:A1016" showDropDown="1" showInputMessage="0" showErrorMessage="0" allowBlank="1" type="custom">
      <formula1>OR(NOT(ISERROR(DATEVALUE(A10))), AND(ISNUMBER(A10), LEFT(CELL("format", A10))="D"))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K883"/>
  <sheetViews>
    <sheetView tabSelected="1" zoomScale="85" zoomScaleNormal="85" workbookViewId="0">
      <pane xSplit="3" ySplit="6" topLeftCell="D7" activePane="bottomRight" state="frozen"/>
      <selection pane="topRight"/>
      <selection pane="bottomLeft"/>
      <selection pane="bottomRight" activeCell="I10" sqref="I10"/>
    </sheetView>
  </sheetViews>
  <sheetFormatPr baseColWidth="8" defaultColWidth="12.609375" defaultRowHeight="15.75" customHeight="1"/>
  <cols>
    <col width="19.609375" customWidth="1" style="75" min="1" max="1"/>
    <col width="8.5" customWidth="1" style="75" min="2" max="2"/>
    <col width="55.6640625" customWidth="1" style="83" min="3" max="3"/>
    <col width="14.5" customWidth="1" style="75" min="4" max="4"/>
    <col width="15.94140625" customWidth="1" style="94" min="6" max="7"/>
    <col width="25.71875" bestFit="1" customWidth="1" style="75" min="8" max="8"/>
    <col width="22.6640625" customWidth="1" style="75" min="9" max="9"/>
    <col width="30" customWidth="1" style="75" min="10" max="10"/>
    <col width="45" customWidth="1" style="75" min="11" max="11"/>
  </cols>
  <sheetData>
    <row r="1" ht="17.7" customHeight="1" s="75">
      <c r="A1" s="19" t="n"/>
      <c r="B1" s="81" t="inlineStr">
        <is>
          <t>DỰ ÁN: BD1.6 - TT AVIO</t>
        </is>
      </c>
      <c r="D1" s="80" t="n"/>
      <c r="E1" s="80" t="n"/>
      <c r="F1" s="84" t="n"/>
      <c r="G1" s="84" t="n"/>
      <c r="H1" s="21" t="n"/>
      <c r="I1" s="131" t="n"/>
    </row>
    <row r="2" ht="17.7" customHeight="1" s="75">
      <c r="A2" s="19" t="n"/>
      <c r="B2" s="82" t="inlineStr">
        <is>
          <t>ĐỊA ĐIỂM: DĨ AN - BÌNH DƯƠNG</t>
        </is>
      </c>
      <c r="D2" s="80" t="n"/>
      <c r="E2" s="80" t="n"/>
      <c r="F2" s="84" t="n"/>
      <c r="G2" s="84" t="n"/>
      <c r="H2" s="21" t="n"/>
      <c r="I2" s="131" t="n"/>
    </row>
    <row r="3" ht="17.7" customHeight="1" s="75">
      <c r="A3" s="19" t="n"/>
      <c r="B3" s="81" t="inlineStr">
        <is>
          <t>GÓI THẦU: THI CÔNG KẾT CẤU &amp; HOÀN THIỆN NGOÀI</t>
        </is>
      </c>
      <c r="C3" s="95" t="n"/>
      <c r="D3" s="80" t="n"/>
      <c r="E3" s="80" t="n"/>
      <c r="F3" s="84" t="n"/>
      <c r="G3" s="84" t="n"/>
      <c r="H3" s="21" t="n"/>
      <c r="I3" s="131" t="n"/>
    </row>
    <row r="4" ht="16.5" customHeight="1" s="75">
      <c r="A4" s="19" t="n"/>
      <c r="B4" s="82" t="inlineStr">
        <is>
          <t>BIỂU: HỆ THỐNG ĐIỀU HÒA KHÔNG KHÍ &amp; THÔNG GIÓ</t>
        </is>
      </c>
      <c r="C4" s="95" t="n"/>
      <c r="D4" s="80" t="n"/>
      <c r="E4" s="80" t="n"/>
      <c r="F4" s="84" t="n"/>
      <c r="G4" s="84" t="n"/>
      <c r="H4" s="21" t="n"/>
      <c r="I4" s="131" t="n"/>
    </row>
    <row r="5" ht="12.3" customHeight="1" s="75">
      <c r="A5" s="19" t="n"/>
      <c r="B5" s="80" t="n"/>
      <c r="C5" s="95" t="n"/>
      <c r="D5" s="80" t="n"/>
      <c r="E5" s="80" t="n"/>
      <c r="F5" s="84" t="n"/>
      <c r="G5" s="84" t="n"/>
      <c r="H5" s="21" t="n"/>
      <c r="I5" s="131" t="n"/>
    </row>
    <row r="6" ht="42.3" customFormat="1" customHeight="1" s="117">
      <c r="A6" s="110" t="inlineStr">
        <is>
          <t>Mã BOQ</t>
        </is>
      </c>
      <c r="B6" s="111" t="inlineStr">
        <is>
          <t>STT</t>
        </is>
      </c>
      <c r="C6" s="112" t="inlineStr">
        <is>
          <t>MÔ TẢ</t>
        </is>
      </c>
      <c r="D6" s="111" t="inlineStr">
        <is>
          <t>Mã/ vật liệu</t>
        </is>
      </c>
      <c r="E6" s="111" t="inlineStr">
        <is>
          <t>Đơn vị</t>
        </is>
      </c>
      <c r="F6" s="113" t="inlineStr">
        <is>
          <t>KHỐI LƯỢNG BOQ THÁP A</t>
        </is>
      </c>
      <c r="G6" s="114" t="inlineStr">
        <is>
          <t>KHỐI LƯỢNG ĐỊNH MỨC THÁP A</t>
        </is>
      </c>
      <c r="H6" s="115" t="inlineStr">
        <is>
          <t>CHÊNH LỆCH ĐỊNH MỨC</t>
        </is>
      </c>
      <c r="I6" s="132" t="inlineStr">
        <is>
          <t>GHI CHÚ</t>
        </is>
      </c>
      <c r="J6" s="133" t="inlineStr">
        <is>
          <t>KIỂM SOÁT ĐẶT HÀNG
(QS DUYỆT)</t>
        </is>
      </c>
      <c r="K6" s="134" t="inlineStr">
        <is>
          <t>GỢI Ý HÀNH ĐỘNG / ĐIỀU KIỆN</t>
        </is>
      </c>
    </row>
    <row r="7" ht="15.6" customHeight="1" s="75">
      <c r="A7" s="27" t="inlineStr">
        <is>
          <t>DHKK-A</t>
        </is>
      </c>
      <c r="B7" s="28" t="inlineStr">
        <is>
          <t>A</t>
        </is>
      </c>
      <c r="C7" s="96" t="inlineStr">
        <is>
          <t>PHẦN HẦM</t>
        </is>
      </c>
      <c r="D7" s="69" t="n"/>
      <c r="E7" s="69" t="n"/>
      <c r="F7" s="86" t="n"/>
      <c r="G7" s="86" t="n"/>
      <c r="H7" s="70" t="n"/>
      <c r="I7" s="135" t="n"/>
    </row>
    <row r="8" ht="15.6" customHeight="1" s="75">
      <c r="A8" s="58" t="inlineStr">
        <is>
          <t>DHKK-A.I</t>
        </is>
      </c>
      <c r="B8" s="33" t="inlineStr">
        <is>
          <t>I</t>
        </is>
      </c>
      <c r="C8" s="97" t="inlineStr">
        <is>
          <t>HỆ THỐNG HÚT KHÓI, CẤP GIÓ TƯƠI</t>
        </is>
      </c>
      <c r="D8" s="34" t="n"/>
      <c r="E8" s="34" t="n"/>
      <c r="F8" s="87" t="n"/>
      <c r="G8" s="87" t="n"/>
      <c r="H8" s="35" t="n"/>
      <c r="I8" s="136" t="n"/>
    </row>
    <row r="9" ht="39" customHeight="1" s="75">
      <c r="A9" s="27" t="inlineStr">
        <is>
          <t>DHKK-A.I.1.0</t>
        </is>
      </c>
      <c r="B9" s="37" t="n">
        <v>1</v>
      </c>
      <c r="C9" s="98" t="inlineStr">
        <is>
          <t>Quạt thông gió</t>
        </is>
      </c>
      <c r="D9" s="61" t="inlineStr">
        <is>
          <t>Cái</t>
        </is>
      </c>
      <c r="E9" s="61" t="inlineStr">
        <is>
          <t>Cái</t>
        </is>
      </c>
      <c r="F9" s="85" t="n"/>
      <c r="G9" s="85" t="n"/>
      <c r="H9" s="25">
        <f>IF(OR(ISNUMBER(F9),ISNUMBER(G9)),N(F9)-N(G9),"")</f>
        <v/>
      </c>
      <c r="I9" s="137" t="n"/>
      <c r="J9" s="117">
        <f>IF(OR(ISNUMBER(F9),ISNUMBER(G9)),IF(ISBLANK(G9),"⚠️ Chưa bóc tách định mức",IF(H9&gt;=0,"✅ OK - Cho phép đặt hàng","❌ CHẶN ĐẶT HÀNG - CẦN BẢO VỆ KL")),"")</f>
        <v/>
      </c>
      <c r="K9" s="138">
        <f>IF(OR(ISNUMBER(F9),ISNUMBER(G9)),IF(ISBLANK(G9),"Kỹ sư/Thầu phụ cần bóc tách KL bản vẽ",IF(H9&gt;=0,"Được đặt hàng tối đa "&amp;G9&amp;" "&amp;E9,"Vượt dự toán "&amp;ABS(H9)&amp;" "&amp;E9&amp;" (QS giải trình &amp; duyệt sửa BOQ)")),"")</f>
        <v/>
      </c>
    </row>
    <row r="10" ht="56.1" customHeight="1" s="75">
      <c r="A10" s="27" t="inlineStr">
        <is>
          <t>DHKK-A.I.1.1</t>
        </is>
      </c>
      <c r="B10" s="139" t="n"/>
      <c r="C10" s="99" t="inlineStr">
        <is>
          <t>Quạt hút khói kiểu hướng trục nối ống gió ( Quạt chịu nhiệt độ 300 độ trong 1h) EAF-B2-01,02
 + Lưu lượng: 5600/8400 l/s 
 + Áp suất: 400/900 Pa</t>
        </is>
      </c>
      <c r="D10" s="61" t="inlineStr">
        <is>
          <t>Bộ</t>
        </is>
      </c>
      <c r="E10" s="61" t="inlineStr">
        <is>
          <t>Bộ</t>
        </is>
      </c>
      <c r="F10" s="88" t="n">
        <v>2</v>
      </c>
      <c r="G10" s="85">
        <f>F10</f>
        <v/>
      </c>
      <c r="H10" s="42">
        <f>IF(OR(ISNUMBER(F10),ISNUMBER(G10)),N(F10)-N(G10),"")</f>
        <v/>
      </c>
      <c r="I10" s="137" t="n"/>
      <c r="J10" s="117">
        <f>IF(OR(ISNUMBER(F10),ISNUMBER(G10)),IF(ISBLANK(G10),"⚠️ Chưa bóc tách định mức",IF(H10&gt;=0,"✅ OK - Cho phép đặt hàng","❌ CHẶN ĐẶT HÀNG - CẦN BẢO VỆ KL")),"")</f>
        <v/>
      </c>
      <c r="K10" s="138">
        <f>IF(OR(ISNUMBER(F10),ISNUMBER(G10)),IF(ISBLANK(G10),"Kỹ sư/Thầu phụ cần bóc tách KL bản vẽ",IF(H10&gt;=0,"Được đặt hàng tối đa "&amp;G10&amp;" "&amp;E10,"Vượt dự toán "&amp;ABS(H10)&amp;" "&amp;E10&amp;" (QS giải trình &amp; duyệt sửa BOQ)")),"")</f>
        <v/>
      </c>
    </row>
    <row r="11" ht="56.1" customHeight="1" s="75">
      <c r="A11" s="58" t="inlineStr">
        <is>
          <t>DHKK-A.I.1.2</t>
        </is>
      </c>
      <c r="B11" s="140" t="n"/>
      <c r="C11" s="99" t="inlineStr">
        <is>
          <t>Quạt hút khói kiểu hướng trục nối ống gió ( Quạt chịu nhiệt độ 300 độ trong 1h) EAF-B2-03,04
 + Lưu lượng: 5600/8400 l/s 
 + Áp suất: 400/900 Pa</t>
        </is>
      </c>
      <c r="D11" s="61" t="inlineStr">
        <is>
          <t>Bộ</t>
        </is>
      </c>
      <c r="E11" s="61" t="inlineStr">
        <is>
          <t>Bộ</t>
        </is>
      </c>
      <c r="F11" s="88" t="n">
        <v>2</v>
      </c>
      <c r="G11" s="85">
        <f>F11</f>
        <v/>
      </c>
      <c r="H11" s="42">
        <f>IF(OR(ISNUMBER(F11),ISNUMBER(G11)),N(F11)-N(G11),"")</f>
        <v/>
      </c>
      <c r="I11" s="137" t="n"/>
      <c r="J11" s="117">
        <f>IF(OR(ISNUMBER(F11),ISNUMBER(G11)),IF(ISBLANK(G11),"⚠️ Chưa bóc tách định mức",IF(H11&gt;=0,"✅ OK - Cho phép đặt hàng","❌ CHẶN ĐẶT HÀNG - CẦN BẢO VỆ KL")),"")</f>
        <v/>
      </c>
      <c r="K11" s="138">
        <f>IF(OR(ISNUMBER(F11),ISNUMBER(G11)),IF(ISBLANK(G11),"Kỹ sư/Thầu phụ cần bóc tách KL bản vẽ",IF(H11&gt;=0,"Được đặt hàng tối đa "&amp;G11&amp;" "&amp;E11,"Vượt dự toán "&amp;ABS(H11)&amp;" "&amp;E11&amp;" (QS giải trình &amp; duyệt sửa BOQ)")),"")</f>
        <v/>
      </c>
    </row>
    <row r="12" ht="56.1" customHeight="1" s="75">
      <c r="A12" s="58" t="inlineStr">
        <is>
          <t>DHKK-A.I.1.3</t>
        </is>
      </c>
      <c r="B12" s="140" t="n"/>
      <c r="C12" s="99" t="inlineStr">
        <is>
          <t>Quạt hút khói kiểu hướng trục nối ống gió ( Quạt chịu nhiệt độ 300 độ trong 1h) EAF-B2-05,06
 + Lưu lượng: 5200/7800 l/s 
 + Áp suất: 400/900 Pa</t>
        </is>
      </c>
      <c r="D12" s="61" t="inlineStr">
        <is>
          <t>Bộ</t>
        </is>
      </c>
      <c r="E12" s="61" t="inlineStr">
        <is>
          <t>Bộ</t>
        </is>
      </c>
      <c r="F12" s="88" t="n">
        <v>2</v>
      </c>
      <c r="G12" s="85">
        <f>F12</f>
        <v/>
      </c>
      <c r="H12" s="42">
        <f>IF(OR(ISNUMBER(F12),ISNUMBER(G12)),N(F12)-N(G12),"")</f>
        <v/>
      </c>
      <c r="I12" s="137" t="n"/>
      <c r="J12" s="117">
        <f>IF(OR(ISNUMBER(F12),ISNUMBER(G12)),IF(ISBLANK(G12),"⚠️ Chưa bóc tách định mức",IF(H12&gt;=0,"✅ OK - Cho phép đặt hàng","❌ CHẶN ĐẶT HÀNG - CẦN BẢO VỆ KL")),"")</f>
        <v/>
      </c>
      <c r="K12" s="138">
        <f>IF(OR(ISNUMBER(F12),ISNUMBER(G12)),IF(ISBLANK(G12),"Kỹ sư/Thầu phụ cần bóc tách KL bản vẽ",IF(H12&gt;=0,"Được đặt hàng tối đa "&amp;G12&amp;" "&amp;E12,"Vượt dự toán "&amp;ABS(H12)&amp;" "&amp;E12&amp;" (QS giải trình &amp; duyệt sửa BOQ)")),"")</f>
        <v/>
      </c>
    </row>
    <row r="13" ht="56.1" customHeight="1" s="75">
      <c r="A13" s="58" t="inlineStr">
        <is>
          <t>DHKK-A.I.1.4</t>
        </is>
      </c>
      <c r="B13" s="140" t="n"/>
      <c r="C13" s="99" t="inlineStr">
        <is>
          <t>Quạt hút khói kiểu hướng trục nối ống gió ( Quạt chịu nhiệt độ 300 độ trong 1h) EAF-B2-07,08
 + Lưu lượng: 7500/11250 l/s 
 + Áp suất: 400/900 Pa</t>
        </is>
      </c>
      <c r="D13" s="61" t="inlineStr">
        <is>
          <t>Bộ</t>
        </is>
      </c>
      <c r="E13" s="61" t="inlineStr">
        <is>
          <t>Bộ</t>
        </is>
      </c>
      <c r="F13" s="88" t="n">
        <v>0</v>
      </c>
      <c r="G13" s="85">
        <f>F13</f>
        <v/>
      </c>
      <c r="H13" s="44">
        <f>IF(OR(ISNUMBER(F13),ISNUMBER(G13)),N(F13)-N(G13),"")</f>
        <v/>
      </c>
      <c r="I13" s="137" t="n"/>
      <c r="J13" s="117">
        <f>IF(OR(ISNUMBER(F13),ISNUMBER(G13)),IF(ISBLANK(G13),"⚠️ Chưa bóc tách định mức",IF(H13&gt;=0,"✅ OK - Cho phép đặt hàng","❌ CHẶN ĐẶT HÀNG - CẦN BẢO VỆ KL")),"")</f>
        <v/>
      </c>
      <c r="K13" s="138">
        <f>IF(OR(ISNUMBER(F13),ISNUMBER(G13)),IF(ISBLANK(G13),"Kỹ sư/Thầu phụ cần bóc tách KL bản vẽ",IF(H13&gt;=0,"Được đặt hàng tối đa "&amp;G13&amp;" "&amp;E13,"Vượt dự toán "&amp;ABS(H13)&amp;" "&amp;E13&amp;" (QS giải trình &amp; duyệt sửa BOQ)")),"")</f>
        <v/>
      </c>
    </row>
    <row r="14" ht="56.1" customHeight="1" s="75">
      <c r="A14" s="58" t="inlineStr">
        <is>
          <t>DHKK-A.I.1.5</t>
        </is>
      </c>
      <c r="B14" s="140" t="n"/>
      <c r="C14" s="99" t="inlineStr">
        <is>
          <t>Quạt hút khói kiểu hướng trục nối ống gió ( Quạt chịu nhiệt độ 300 độ trong 1h) EAF-B2-09,10
 + Lưu lượng: 5400/8100 l/s 
 + Áp suất: 400/900 Pa</t>
        </is>
      </c>
      <c r="D14" s="61" t="inlineStr">
        <is>
          <t>Bộ</t>
        </is>
      </c>
      <c r="E14" s="61" t="inlineStr">
        <is>
          <t>Bộ</t>
        </is>
      </c>
      <c r="F14" s="88" t="n">
        <v>0</v>
      </c>
      <c r="G14" s="85">
        <f>F14</f>
        <v/>
      </c>
      <c r="H14" s="44">
        <f>IF(OR(ISNUMBER(F14),ISNUMBER(G14)),N(F14)-N(G14),"")</f>
        <v/>
      </c>
      <c r="I14" s="137" t="n"/>
      <c r="J14" s="117">
        <f>IF(OR(ISNUMBER(F14),ISNUMBER(G14)),IF(ISBLANK(G14),"⚠️ Chưa bóc tách định mức",IF(H14&gt;=0,"✅ OK - Cho phép đặt hàng","❌ CHẶN ĐẶT HÀNG - CẦN BẢO VỆ KL")),"")</f>
        <v/>
      </c>
      <c r="K14" s="138">
        <f>IF(OR(ISNUMBER(F14),ISNUMBER(G14)),IF(ISBLANK(G14),"Kỹ sư/Thầu phụ cần bóc tách KL bản vẽ",IF(H14&gt;=0,"Được đặt hàng tối đa "&amp;G14&amp;" "&amp;E14,"Vượt dự toán "&amp;ABS(H14)&amp;" "&amp;E14&amp;" (QS giải trình &amp; duyệt sửa BOQ)")),"")</f>
        <v/>
      </c>
    </row>
    <row r="15" ht="56.1" customHeight="1" s="75">
      <c r="A15" s="58" t="inlineStr">
        <is>
          <t>DHKK-A.I.1.6</t>
        </is>
      </c>
      <c r="B15" s="140" t="n"/>
      <c r="C15" s="99" t="inlineStr">
        <is>
          <t>Quạt cấp khí kiểu hướng trục nối ống gió FAF-B2-01,02
 + Lưu lượng: 5600/8400 l/s 
 + Áp suất: 400/900 Pa</t>
        </is>
      </c>
      <c r="D15" s="61" t="inlineStr">
        <is>
          <t>Bộ</t>
        </is>
      </c>
      <c r="E15" s="61" t="inlineStr">
        <is>
          <t>Bộ</t>
        </is>
      </c>
      <c r="F15" s="88" t="n">
        <v>2</v>
      </c>
      <c r="G15" s="85">
        <f>F15</f>
        <v/>
      </c>
      <c r="H15" s="42">
        <f>IF(OR(ISNUMBER(F15),ISNUMBER(G15)),N(F15)-N(G15),"")</f>
        <v/>
      </c>
      <c r="I15" s="137" t="n"/>
      <c r="J15" s="117">
        <f>IF(OR(ISNUMBER(F15),ISNUMBER(G15)),IF(ISBLANK(G15),"⚠️ Chưa bóc tách định mức",IF(H15&gt;=0,"✅ OK - Cho phép đặt hàng","❌ CHẶN ĐẶT HÀNG - CẦN BẢO VỆ KL")),"")</f>
        <v/>
      </c>
      <c r="K15" s="138">
        <f>IF(OR(ISNUMBER(F15),ISNUMBER(G15)),IF(ISBLANK(G15),"Kỹ sư/Thầu phụ cần bóc tách KL bản vẽ",IF(H15&gt;=0,"Được đặt hàng tối đa "&amp;G15&amp;" "&amp;E15,"Vượt dự toán "&amp;ABS(H15)&amp;" "&amp;E15&amp;" (QS giải trình &amp; duyệt sửa BOQ)")),"")</f>
        <v/>
      </c>
    </row>
    <row r="16" ht="56.1" customHeight="1" s="75">
      <c r="A16" s="58" t="inlineStr">
        <is>
          <t>DHKK-A.I.1.7</t>
        </is>
      </c>
      <c r="B16" s="140" t="n"/>
      <c r="C16" s="99" t="inlineStr">
        <is>
          <t>Quạt cấp khí kiểu hướng trục nối ống gió FAF-B2-03,04
 + Lưu lượng: 5600/8400 l/s 
 + Áp suất: 400/900 Pa</t>
        </is>
      </c>
      <c r="D16" s="61" t="inlineStr">
        <is>
          <t>Bộ</t>
        </is>
      </c>
      <c r="E16" s="61" t="inlineStr">
        <is>
          <t>Bộ</t>
        </is>
      </c>
      <c r="F16" s="88" t="n">
        <v>2</v>
      </c>
      <c r="G16" s="85">
        <f>F16</f>
        <v/>
      </c>
      <c r="H16" s="42">
        <f>IF(OR(ISNUMBER(F16),ISNUMBER(G16)),N(F16)-N(G16),"")</f>
        <v/>
      </c>
      <c r="I16" s="137" t="n"/>
      <c r="J16" s="117">
        <f>IF(OR(ISNUMBER(F16),ISNUMBER(G16)),IF(ISBLANK(G16),"⚠️ Chưa bóc tách định mức",IF(H16&gt;=0,"✅ OK - Cho phép đặt hàng","❌ CHẶN ĐẶT HÀNG - CẦN BẢO VỆ KL")),"")</f>
        <v/>
      </c>
      <c r="K16" s="138">
        <f>IF(OR(ISNUMBER(F16),ISNUMBER(G16)),IF(ISBLANK(G16),"Kỹ sư/Thầu phụ cần bóc tách KL bản vẽ",IF(H16&gt;=0,"Được đặt hàng tối đa "&amp;G16&amp;" "&amp;E16,"Vượt dự toán "&amp;ABS(H16)&amp;" "&amp;E16&amp;" (QS giải trình &amp; duyệt sửa BOQ)")),"")</f>
        <v/>
      </c>
    </row>
    <row r="17" ht="56.1" customHeight="1" s="75">
      <c r="A17" s="58" t="inlineStr">
        <is>
          <t>DHKK-A.I.1.8</t>
        </is>
      </c>
      <c r="B17" s="140" t="n"/>
      <c r="C17" s="99" t="inlineStr">
        <is>
          <t>Quạt cấp khí kiểu hướng trục nối ống gió FAF-B2-05,06
 + Lưu lượng: 5200/7800 l/s 
 + Áp suất: 400/900 Pa</t>
        </is>
      </c>
      <c r="D17" s="61" t="inlineStr">
        <is>
          <t>Bộ</t>
        </is>
      </c>
      <c r="E17" s="61" t="inlineStr">
        <is>
          <t>Bộ</t>
        </is>
      </c>
      <c r="F17" s="88" t="n">
        <v>2</v>
      </c>
      <c r="G17" s="85">
        <f>F17</f>
        <v/>
      </c>
      <c r="H17" s="42">
        <f>IF(OR(ISNUMBER(F17),ISNUMBER(G17)),N(F17)-N(G17),"")</f>
        <v/>
      </c>
      <c r="I17" s="137" t="n"/>
      <c r="J17" s="117">
        <f>IF(OR(ISNUMBER(F17),ISNUMBER(G17)),IF(ISBLANK(G17),"⚠️ Chưa bóc tách định mức",IF(H17&gt;=0,"✅ OK - Cho phép đặt hàng","❌ CHẶN ĐẶT HÀNG - CẦN BẢO VỆ KL")),"")</f>
        <v/>
      </c>
      <c r="K17" s="138">
        <f>IF(OR(ISNUMBER(F17),ISNUMBER(G17)),IF(ISBLANK(G17),"Kỹ sư/Thầu phụ cần bóc tách KL bản vẽ",IF(H17&gt;=0,"Được đặt hàng tối đa "&amp;G17&amp;" "&amp;E17,"Vượt dự toán "&amp;ABS(H17)&amp;" "&amp;E17&amp;" (QS giải trình &amp; duyệt sửa BOQ)")),"")</f>
        <v/>
      </c>
    </row>
    <row r="18" ht="56.1" customHeight="1" s="75">
      <c r="A18" s="58" t="inlineStr">
        <is>
          <t>DHKK-A.I.1.9</t>
        </is>
      </c>
      <c r="B18" s="140" t="n"/>
      <c r="C18" s="99" t="inlineStr">
        <is>
          <t>Quạt cấp khí kiểu hướng trục nối ống gió FAF-B2-07,08
 + Lưu lượng: 7500/11250 l/s 
 + Áp suất: 400/900 Pa</t>
        </is>
      </c>
      <c r="D18" s="61" t="inlineStr">
        <is>
          <t>Bộ</t>
        </is>
      </c>
      <c r="E18" s="61" t="inlineStr">
        <is>
          <t>Bộ</t>
        </is>
      </c>
      <c r="F18" s="88" t="n">
        <v>0</v>
      </c>
      <c r="G18" s="85">
        <f>F18</f>
        <v/>
      </c>
      <c r="H18" s="44">
        <f>IF(OR(ISNUMBER(F18),ISNUMBER(G18)),N(F18)-N(G18),"")</f>
        <v/>
      </c>
      <c r="I18" s="137" t="n"/>
      <c r="J18" s="117">
        <f>IF(OR(ISNUMBER(F18),ISNUMBER(G18)),IF(ISBLANK(G18),"⚠️ Chưa bóc tách định mức",IF(H18&gt;=0,"✅ OK - Cho phép đặt hàng","❌ CHẶN ĐẶT HÀNG - CẦN BẢO VỆ KL")),"")</f>
        <v/>
      </c>
      <c r="K18" s="138">
        <f>IF(OR(ISNUMBER(F18),ISNUMBER(G18)),IF(ISBLANK(G18),"Kỹ sư/Thầu phụ cần bóc tách KL bản vẽ",IF(H18&gt;=0,"Được đặt hàng tối đa "&amp;G18&amp;" "&amp;E18,"Vượt dự toán "&amp;ABS(H18)&amp;" "&amp;E18&amp;" (QS giải trình &amp; duyệt sửa BOQ)")),"")</f>
        <v/>
      </c>
    </row>
    <row r="19" ht="56.1" customHeight="1" s="75">
      <c r="A19" s="58" t="inlineStr">
        <is>
          <t>DHKK-A.I.1.10</t>
        </is>
      </c>
      <c r="B19" s="140" t="n"/>
      <c r="C19" s="99" t="inlineStr">
        <is>
          <t>Quạt cấp khí kiểu hướng trục nối ống gió FAF-B2-09,10
 + Lưu lượng: 5400/8100 l/s 
 + Áp suất: 400/900 Pa</t>
        </is>
      </c>
      <c r="D19" s="61" t="inlineStr">
        <is>
          <t>Bộ</t>
        </is>
      </c>
      <c r="E19" s="61" t="inlineStr">
        <is>
          <t>Bộ</t>
        </is>
      </c>
      <c r="F19" s="88" t="n">
        <v>0</v>
      </c>
      <c r="G19" s="85">
        <f>F19</f>
        <v/>
      </c>
      <c r="H19" s="44">
        <f>IF(OR(ISNUMBER(F19),ISNUMBER(G19)),N(F19)-N(G19),"")</f>
        <v/>
      </c>
      <c r="I19" s="137" t="n"/>
      <c r="J19" s="117">
        <f>IF(OR(ISNUMBER(F19),ISNUMBER(G19)),IF(ISBLANK(G19),"⚠️ Chưa bóc tách định mức",IF(H19&gt;=0,"✅ OK - Cho phép đặt hàng","❌ CHẶN ĐẶT HÀNG - CẦN BẢO VỆ KL")),"")</f>
        <v/>
      </c>
      <c r="K19" s="138">
        <f>IF(OR(ISNUMBER(F19),ISNUMBER(G19)),IF(ISBLANK(G19),"Kỹ sư/Thầu phụ cần bóc tách KL bản vẽ",IF(H19&gt;=0,"Được đặt hàng tối đa "&amp;G19&amp;" "&amp;E19,"Vượt dự toán "&amp;ABS(H19)&amp;" "&amp;E19&amp;" (QS giải trình &amp; duyệt sửa BOQ)")),"")</f>
        <v/>
      </c>
    </row>
    <row r="20" ht="56.1" customHeight="1" s="75">
      <c r="A20" s="58" t="inlineStr">
        <is>
          <t>DHKK-A.I.1.11</t>
        </is>
      </c>
      <c r="B20" s="141" t="n"/>
      <c r="C20" s="99" t="inlineStr">
        <is>
          <t>Quạt hút khói kiểu hướng trục nối ống gió ( Quạt chịu nhiệt độ 300 độ trong 1h) EAF-B1-01,02
 + Lưu lượng: 7500/11250 l/s 
 + Áp suất: 400/900 Pa</t>
        </is>
      </c>
      <c r="D20" s="61" t="inlineStr">
        <is>
          <t>Bộ</t>
        </is>
      </c>
      <c r="E20" s="61" t="inlineStr">
        <is>
          <t>Bộ</t>
        </is>
      </c>
      <c r="F20" s="88" t="n">
        <v>2</v>
      </c>
      <c r="G20" s="85">
        <f>F20</f>
        <v/>
      </c>
      <c r="H20" s="42">
        <f>IF(OR(ISNUMBER(F20),ISNUMBER(G20)),N(F20)-N(G20),"")</f>
        <v/>
      </c>
      <c r="I20" s="137" t="n"/>
      <c r="J20" s="117">
        <f>IF(OR(ISNUMBER(F20),ISNUMBER(G20)),IF(ISBLANK(G20),"⚠️ Chưa bóc tách định mức",IF(H20&gt;=0,"✅ OK - Cho phép đặt hàng","❌ CHẶN ĐẶT HÀNG - CẦN BẢO VỆ KL")),"")</f>
        <v/>
      </c>
      <c r="K20" s="138">
        <f>IF(OR(ISNUMBER(F20),ISNUMBER(G20)),IF(ISBLANK(G20),"Kỹ sư/Thầu phụ cần bóc tách KL bản vẽ",IF(H20&gt;=0,"Được đặt hàng tối đa "&amp;G20&amp;" "&amp;E20,"Vượt dự toán "&amp;ABS(H20)&amp;" "&amp;E20&amp;" (QS giải trình &amp; duyệt sửa BOQ)")),"")</f>
        <v/>
      </c>
    </row>
    <row r="21" ht="56.1" customHeight="1" s="75">
      <c r="A21" s="58" t="inlineStr">
        <is>
          <t>DHKK-A.I.1.12</t>
        </is>
      </c>
      <c r="B21" s="139" t="n"/>
      <c r="C21" s="99" t="inlineStr">
        <is>
          <t>Quạt hút khói kiểu hướng trục nối ống gió ( Quạt chịu nhiệt độ 300 độ trong 1h) EAF-B1-03,04
 + Lưu lượng: 8000/12000 l/s 
 + Áp suất: 400/900 Pa</t>
        </is>
      </c>
      <c r="D21" s="61" t="inlineStr">
        <is>
          <t>Bộ</t>
        </is>
      </c>
      <c r="E21" s="61" t="inlineStr">
        <is>
          <t>Bộ</t>
        </is>
      </c>
      <c r="F21" s="88" t="n">
        <v>2</v>
      </c>
      <c r="G21" s="85">
        <f>F21</f>
        <v/>
      </c>
      <c r="H21" s="42">
        <f>IF(OR(ISNUMBER(F21),ISNUMBER(G21)),N(F21)-N(G21),"")</f>
        <v/>
      </c>
      <c r="I21" s="137" t="n"/>
      <c r="J21" s="117">
        <f>IF(OR(ISNUMBER(F21),ISNUMBER(G21)),IF(ISBLANK(G21),"⚠️ Chưa bóc tách định mức",IF(H21&gt;=0,"✅ OK - Cho phép đặt hàng","❌ CHẶN ĐẶT HÀNG - CẦN BẢO VỆ KL")),"")</f>
        <v/>
      </c>
      <c r="K21" s="138">
        <f>IF(OR(ISNUMBER(F21),ISNUMBER(G21)),IF(ISBLANK(G21),"Kỹ sư/Thầu phụ cần bóc tách KL bản vẽ",IF(H21&gt;=0,"Được đặt hàng tối đa "&amp;G21&amp;" "&amp;E21,"Vượt dự toán "&amp;ABS(H21)&amp;" "&amp;E21&amp;" (QS giải trình &amp; duyệt sửa BOQ)")),"")</f>
        <v/>
      </c>
    </row>
    <row r="22" ht="56.1" customHeight="1" s="75">
      <c r="A22" s="58" t="inlineStr">
        <is>
          <t>DHKK-A.I.1.13</t>
        </is>
      </c>
      <c r="B22" s="140" t="n"/>
      <c r="C22" s="99" t="inlineStr">
        <is>
          <t>Quạt hút khói kiểu hướng trục nối ống gió ( Quạt chịu nhiệt độ 300 độ trong 1h) EAF-B1-05,06
 + Lưu lượng: 7500/11250 l/s 
 + Áp suất: 400/900 Pa</t>
        </is>
      </c>
      <c r="D22" s="61" t="inlineStr">
        <is>
          <t>Bộ</t>
        </is>
      </c>
      <c r="E22" s="61" t="inlineStr">
        <is>
          <t>Bộ</t>
        </is>
      </c>
      <c r="F22" s="88" t="n">
        <v>2</v>
      </c>
      <c r="G22" s="85">
        <f>F22</f>
        <v/>
      </c>
      <c r="H22" s="42">
        <f>IF(OR(ISNUMBER(F22),ISNUMBER(G22)),N(F22)-N(G22),"")</f>
        <v/>
      </c>
      <c r="I22" s="137" t="n"/>
      <c r="J22" s="117">
        <f>IF(OR(ISNUMBER(F22),ISNUMBER(G22)),IF(ISBLANK(G22),"⚠️ Chưa bóc tách định mức",IF(H22&gt;=0,"✅ OK - Cho phép đặt hàng","❌ CHẶN ĐẶT HÀNG - CẦN BẢO VỆ KL")),"")</f>
        <v/>
      </c>
      <c r="K22" s="138">
        <f>IF(OR(ISNUMBER(F22),ISNUMBER(G22)),IF(ISBLANK(G22),"Kỹ sư/Thầu phụ cần bóc tách KL bản vẽ",IF(H22&gt;=0,"Được đặt hàng tối đa "&amp;G22&amp;" "&amp;E22,"Vượt dự toán "&amp;ABS(H22)&amp;" "&amp;E22&amp;" (QS giải trình &amp; duyệt sửa BOQ)")),"")</f>
        <v/>
      </c>
    </row>
    <row r="23" ht="56.1" customHeight="1" s="75">
      <c r="A23" s="58" t="inlineStr">
        <is>
          <t>DHKK-A.I.1.14</t>
        </is>
      </c>
      <c r="B23" s="140" t="n"/>
      <c r="C23" s="99" t="inlineStr">
        <is>
          <t>Quạt hút khói kiểu hướng trục nối ống gió ( Quạt chịu nhiệt độ 300 độ trong 1h) EAF-B1-07,08
 + Lưu lượng: 10500/15750 l/s 
 + Áp suất: 400/900 Pa</t>
        </is>
      </c>
      <c r="D23" s="61" t="inlineStr">
        <is>
          <t>Bộ</t>
        </is>
      </c>
      <c r="E23" s="61" t="inlineStr">
        <is>
          <t>Bộ</t>
        </is>
      </c>
      <c r="F23" s="88" t="n">
        <v>0</v>
      </c>
      <c r="G23" s="85">
        <f>F23</f>
        <v/>
      </c>
      <c r="H23" s="44">
        <f>IF(OR(ISNUMBER(F23),ISNUMBER(G23)),N(F23)-N(G23),"")</f>
        <v/>
      </c>
      <c r="I23" s="137" t="n"/>
      <c r="J23" s="117">
        <f>IF(OR(ISNUMBER(F23),ISNUMBER(G23)),IF(ISBLANK(G23),"⚠️ Chưa bóc tách định mức",IF(H23&gt;=0,"✅ OK - Cho phép đặt hàng","❌ CHẶN ĐẶT HÀNG - CẦN BẢO VỆ KL")),"")</f>
        <v/>
      </c>
      <c r="K23" s="138">
        <f>IF(OR(ISNUMBER(F23),ISNUMBER(G23)),IF(ISBLANK(G23),"Kỹ sư/Thầu phụ cần bóc tách KL bản vẽ",IF(H23&gt;=0,"Được đặt hàng tối đa "&amp;G23&amp;" "&amp;E23,"Vượt dự toán "&amp;ABS(H23)&amp;" "&amp;E23&amp;" (QS giải trình &amp; duyệt sửa BOQ)")),"")</f>
        <v/>
      </c>
    </row>
    <row r="24" ht="56.1" customHeight="1" s="75">
      <c r="A24" s="58" t="inlineStr">
        <is>
          <t>DHKK-A.I.1.15</t>
        </is>
      </c>
      <c r="B24" s="140" t="n"/>
      <c r="C24" s="99" t="inlineStr">
        <is>
          <t>Quạt hút khói kiểu hướng trục nối ống gió ( Quạt chịu nhiệt độ 300 độ trong 1h) EAF-B1-09,10
 + Lưu lượng: 6000/9000 l/s 
 + Áp suất: 400/900 Pa</t>
        </is>
      </c>
      <c r="D24" s="61" t="inlineStr">
        <is>
          <t>Bộ</t>
        </is>
      </c>
      <c r="E24" s="61" t="inlineStr">
        <is>
          <t>Bộ</t>
        </is>
      </c>
      <c r="F24" s="88" t="n">
        <v>0</v>
      </c>
      <c r="G24" s="85">
        <f>F24</f>
        <v/>
      </c>
      <c r="H24" s="44">
        <f>IF(OR(ISNUMBER(F24),ISNUMBER(G24)),N(F24)-N(G24),"")</f>
        <v/>
      </c>
      <c r="I24" s="137" t="n"/>
      <c r="J24" s="117">
        <f>IF(OR(ISNUMBER(F24),ISNUMBER(G24)),IF(ISBLANK(G24),"⚠️ Chưa bóc tách định mức",IF(H24&gt;=0,"✅ OK - Cho phép đặt hàng","❌ CHẶN ĐẶT HÀNG - CẦN BẢO VỆ KL")),"")</f>
        <v/>
      </c>
      <c r="K24" s="138">
        <f>IF(OR(ISNUMBER(F24),ISNUMBER(G24)),IF(ISBLANK(G24),"Kỹ sư/Thầu phụ cần bóc tách KL bản vẽ",IF(H24&gt;=0,"Được đặt hàng tối đa "&amp;G24&amp;" "&amp;E24,"Vượt dự toán "&amp;ABS(H24)&amp;" "&amp;E24&amp;" (QS giải trình &amp; duyệt sửa BOQ)")),"")</f>
        <v/>
      </c>
    </row>
    <row r="25" ht="56.1" customHeight="1" s="75">
      <c r="A25" s="58" t="inlineStr">
        <is>
          <t>DHKK-A.I.1.16</t>
        </is>
      </c>
      <c r="B25" s="24" t="n"/>
      <c r="C25" s="99" t="inlineStr">
        <is>
          <t>Quạt cấp khí kiểu hướng trục nối ống gió FAF-B1-01,02
 + Lưu lượng: 7500/11250 l/s 
 + Áp suất: 400/900 Pa</t>
        </is>
      </c>
      <c r="D25" s="61" t="inlineStr">
        <is>
          <t>Bộ</t>
        </is>
      </c>
      <c r="E25" s="61" t="inlineStr">
        <is>
          <t>Bộ</t>
        </is>
      </c>
      <c r="F25" s="88" t="n">
        <v>2</v>
      </c>
      <c r="G25" s="85">
        <f>F25</f>
        <v/>
      </c>
      <c r="H25" s="42">
        <f>IF(OR(ISNUMBER(F25),ISNUMBER(G25)),N(F25)-N(G25),"")</f>
        <v/>
      </c>
      <c r="I25" s="137" t="n"/>
      <c r="J25" s="117">
        <f>IF(OR(ISNUMBER(F25),ISNUMBER(G25)),IF(ISBLANK(G25),"⚠️ Chưa bóc tách định mức",IF(H25&gt;=0,"✅ OK - Cho phép đặt hàng","❌ CHẶN ĐẶT HÀNG - CẦN BẢO VỆ KL")),"")</f>
        <v/>
      </c>
      <c r="K25" s="138">
        <f>IF(OR(ISNUMBER(F25),ISNUMBER(G25)),IF(ISBLANK(G25),"Kỹ sư/Thầu phụ cần bóc tách KL bản vẽ",IF(H25&gt;=0,"Được đặt hàng tối đa "&amp;G25&amp;" "&amp;E25,"Vượt dự toán "&amp;ABS(H25)&amp;" "&amp;E25&amp;" (QS giải trình &amp; duyệt sửa BOQ)")),"")</f>
        <v/>
      </c>
    </row>
    <row r="26" ht="56.1" customHeight="1" s="75">
      <c r="A26" s="58" t="inlineStr">
        <is>
          <t>DHKK-A.I.1.17</t>
        </is>
      </c>
      <c r="B26" s="140" t="n"/>
      <c r="C26" s="99" t="inlineStr">
        <is>
          <t>Quạt cấp khí kiểu hướng trục nối ống gió FAF-B1-03,04
 + Lưu lượng: 8000/12000 l/s 
 + Áp suất: 400/900 Pa</t>
        </is>
      </c>
      <c r="D26" s="61" t="inlineStr">
        <is>
          <t>Bộ</t>
        </is>
      </c>
      <c r="E26" s="61" t="inlineStr">
        <is>
          <t>Bộ</t>
        </is>
      </c>
      <c r="F26" s="88" t="n">
        <v>2</v>
      </c>
      <c r="G26" s="85">
        <f>F26</f>
        <v/>
      </c>
      <c r="H26" s="42">
        <f>IF(OR(ISNUMBER(F26),ISNUMBER(G26)),N(F26)-N(G26),"")</f>
        <v/>
      </c>
      <c r="I26" s="137" t="n"/>
      <c r="J26" s="117">
        <f>IF(OR(ISNUMBER(F26),ISNUMBER(G26)),IF(ISBLANK(G26),"⚠️ Chưa bóc tách định mức",IF(H26&gt;=0,"✅ OK - Cho phép đặt hàng","❌ CHẶN ĐẶT HÀNG - CẦN BẢO VỆ KL")),"")</f>
        <v/>
      </c>
      <c r="K26" s="138">
        <f>IF(OR(ISNUMBER(F26),ISNUMBER(G26)),IF(ISBLANK(G26),"Kỹ sư/Thầu phụ cần bóc tách KL bản vẽ",IF(H26&gt;=0,"Được đặt hàng tối đa "&amp;G26&amp;" "&amp;E26,"Vượt dự toán "&amp;ABS(H26)&amp;" "&amp;E26&amp;" (QS giải trình &amp; duyệt sửa BOQ)")),"")</f>
        <v/>
      </c>
    </row>
    <row r="27" ht="56.1" customHeight="1" s="75">
      <c r="A27" s="58" t="inlineStr">
        <is>
          <t>DHKK-A.I.1.18</t>
        </is>
      </c>
      <c r="B27" s="140" t="n"/>
      <c r="C27" s="99" t="inlineStr">
        <is>
          <t>Quạt cấp khí kiểu hướng trục nối ống gió FAF-B1-05,06
 + Lưu lượng: 7500/11250 l/s 
 + Áp suất: 400/900 Pa</t>
        </is>
      </c>
      <c r="D27" s="61" t="inlineStr">
        <is>
          <t>Bộ</t>
        </is>
      </c>
      <c r="E27" s="61" t="inlineStr">
        <is>
          <t>Bộ</t>
        </is>
      </c>
      <c r="F27" s="88" t="n">
        <v>2</v>
      </c>
      <c r="G27" s="85">
        <f>F27</f>
        <v/>
      </c>
      <c r="H27" s="42">
        <f>IF(OR(ISNUMBER(F27),ISNUMBER(G27)),N(F27)-N(G27),"")</f>
        <v/>
      </c>
      <c r="I27" s="137" t="n"/>
      <c r="J27" s="117">
        <f>IF(OR(ISNUMBER(F27),ISNUMBER(G27)),IF(ISBLANK(G27),"⚠️ Chưa bóc tách định mức",IF(H27&gt;=0,"✅ OK - Cho phép đặt hàng","❌ CHẶN ĐẶT HÀNG - CẦN BẢO VỆ KL")),"")</f>
        <v/>
      </c>
      <c r="K27" s="138">
        <f>IF(OR(ISNUMBER(F27),ISNUMBER(G27)),IF(ISBLANK(G27),"Kỹ sư/Thầu phụ cần bóc tách KL bản vẽ",IF(H27&gt;=0,"Được đặt hàng tối đa "&amp;G27&amp;" "&amp;E27,"Vượt dự toán "&amp;ABS(H27)&amp;" "&amp;E27&amp;" (QS giải trình &amp; duyệt sửa BOQ)")),"")</f>
        <v/>
      </c>
    </row>
    <row r="28" ht="56.1" customHeight="1" s="75">
      <c r="A28" s="58" t="inlineStr">
        <is>
          <t>DHKK-A.I.1.19</t>
        </is>
      </c>
      <c r="B28" s="24" t="n"/>
      <c r="C28" s="99" t="inlineStr">
        <is>
          <t>Quạt cấp khí kiểu hướng trục nối ống gió FAF-B1-07,08
 + Lưu lượng: 10500/15750 l/s 
 + Áp suất: 400/900 Pa</t>
        </is>
      </c>
      <c r="D28" s="61" t="inlineStr">
        <is>
          <t>Bộ</t>
        </is>
      </c>
      <c r="E28" s="61" t="inlineStr">
        <is>
          <t>Bộ</t>
        </is>
      </c>
      <c r="F28" s="88" t="n">
        <v>0</v>
      </c>
      <c r="G28" s="85">
        <f>F28</f>
        <v/>
      </c>
      <c r="H28" s="44">
        <f>IF(OR(ISNUMBER(F28),ISNUMBER(G28)),N(F28)-N(G28),"")</f>
        <v/>
      </c>
      <c r="I28" s="137" t="n"/>
      <c r="J28" s="117">
        <f>IF(OR(ISNUMBER(F28),ISNUMBER(G28)),IF(ISBLANK(G28),"⚠️ Chưa bóc tách định mức",IF(H28&gt;=0,"✅ OK - Cho phép đặt hàng","❌ CHẶN ĐẶT HÀNG - CẦN BẢO VỆ KL")),"")</f>
        <v/>
      </c>
      <c r="K28" s="138">
        <f>IF(OR(ISNUMBER(F28),ISNUMBER(G28)),IF(ISBLANK(G28),"Kỹ sư/Thầu phụ cần bóc tách KL bản vẽ",IF(H28&gt;=0,"Được đặt hàng tối đa "&amp;G28&amp;" "&amp;E28,"Vượt dự toán "&amp;ABS(H28)&amp;" "&amp;E28&amp;" (QS giải trình &amp; duyệt sửa BOQ)")),"")</f>
        <v/>
      </c>
    </row>
    <row r="29" ht="56.1" customHeight="1" s="75">
      <c r="A29" s="58" t="inlineStr">
        <is>
          <t>DHKK-A.I.1.20</t>
        </is>
      </c>
      <c r="B29" s="24" t="n"/>
      <c r="C29" s="99" t="inlineStr">
        <is>
          <t>Quạt cấp khí kiểu hướng trục nối ống gió FAF-B1-09,10
 + Lưu lượng: 6000/9000 l/s 
 + Áp suất: 400/900 Pa</t>
        </is>
      </c>
      <c r="D29" s="61" t="inlineStr">
        <is>
          <t>Bộ</t>
        </is>
      </c>
      <c r="E29" s="61" t="inlineStr">
        <is>
          <t>Bộ</t>
        </is>
      </c>
      <c r="F29" s="88" t="n">
        <v>0</v>
      </c>
      <c r="G29" s="85">
        <f>F29</f>
        <v/>
      </c>
      <c r="H29" s="44">
        <f>IF(OR(ISNUMBER(F29),ISNUMBER(G29)),N(F29)-N(G29),"")</f>
        <v/>
      </c>
      <c r="I29" s="137" t="n"/>
      <c r="J29" s="117">
        <f>IF(OR(ISNUMBER(F29),ISNUMBER(G29)),IF(ISBLANK(G29),"⚠️ Chưa bóc tách định mức",IF(H29&gt;=0,"✅ OK - Cho phép đặt hàng","❌ CHẶN ĐẶT HÀNG - CẦN BẢO VỆ KL")),"")</f>
        <v/>
      </c>
      <c r="K29" s="138">
        <f>IF(OR(ISNUMBER(F29),ISNUMBER(G29)),IF(ISBLANK(G29),"Kỹ sư/Thầu phụ cần bóc tách KL bản vẽ",IF(H29&gt;=0,"Được đặt hàng tối đa "&amp;G29&amp;" "&amp;E29,"Vượt dự toán "&amp;ABS(H29)&amp;" "&amp;E29&amp;" (QS giải trình &amp; duyệt sửa BOQ)")),"")</f>
        <v/>
      </c>
    </row>
    <row r="30" ht="56.1" customHeight="1" s="75">
      <c r="A30" s="58" t="inlineStr">
        <is>
          <t>DHKK-A.I.1.21</t>
        </is>
      </c>
      <c r="B30" s="140" t="n"/>
      <c r="C30" s="99" t="inlineStr">
        <is>
          <t>Quạt cấp khí kiểu hướng trục nối ống gió FAF-B1-11 
 + Lưu lượng: 150 l/s
 + Áp suất: 300 Pa</t>
        </is>
      </c>
      <c r="D30" s="61" t="inlineStr">
        <is>
          <t>Bộ</t>
        </is>
      </c>
      <c r="E30" s="61" t="inlineStr">
        <is>
          <t>Bộ</t>
        </is>
      </c>
      <c r="F30" s="88" t="n">
        <v>1</v>
      </c>
      <c r="G30" s="85">
        <f>F30</f>
        <v/>
      </c>
      <c r="H30" s="42">
        <f>IF(OR(ISNUMBER(F30),ISNUMBER(G30)),N(F30)-N(G30),"")</f>
        <v/>
      </c>
      <c r="I30" s="137" t="n"/>
      <c r="J30" s="117">
        <f>IF(OR(ISNUMBER(F30),ISNUMBER(G30)),IF(ISBLANK(G30),"⚠️ Chưa bóc tách định mức",IF(H30&gt;=0,"✅ OK - Cho phép đặt hàng","❌ CHẶN ĐẶT HÀNG - CẦN BẢO VỆ KL")),"")</f>
        <v/>
      </c>
      <c r="K30" s="138">
        <f>IF(OR(ISNUMBER(F30),ISNUMBER(G30)),IF(ISBLANK(G30),"Kỹ sư/Thầu phụ cần bóc tách KL bản vẽ",IF(H30&gt;=0,"Được đặt hàng tối đa "&amp;G30&amp;" "&amp;E30,"Vượt dự toán "&amp;ABS(H30)&amp;" "&amp;E30&amp;" (QS giải trình &amp; duyệt sửa BOQ)")),"")</f>
        <v/>
      </c>
    </row>
    <row r="31" ht="56.1" customHeight="1" s="75">
      <c r="A31" s="58" t="inlineStr">
        <is>
          <t>DHKK-A.I.1.22</t>
        </is>
      </c>
      <c r="B31" s="140" t="n"/>
      <c r="C31" s="99" t="inlineStr">
        <is>
          <t>Quạt cấp khí kiểu hướng trục nối ống gió FAF-B1-12 
 + Lưu lượng: 100 l/s
 + Áp suất: 300 Pa</t>
        </is>
      </c>
      <c r="D31" s="61" t="inlineStr">
        <is>
          <t>Bộ</t>
        </is>
      </c>
      <c r="E31" s="61" t="inlineStr">
        <is>
          <t>Bộ</t>
        </is>
      </c>
      <c r="F31" s="88" t="n">
        <v>1</v>
      </c>
      <c r="G31" s="85">
        <f>F31</f>
        <v/>
      </c>
      <c r="H31" s="42">
        <f>IF(OR(ISNUMBER(F31),ISNUMBER(G31)),N(F31)-N(G31),"")</f>
        <v/>
      </c>
      <c r="I31" s="137" t="n"/>
      <c r="J31" s="117">
        <f>IF(OR(ISNUMBER(F31),ISNUMBER(G31)),IF(ISBLANK(G31),"⚠️ Chưa bóc tách định mức",IF(H31&gt;=0,"✅ OK - Cho phép đặt hàng","❌ CHẶN ĐẶT HÀNG - CẦN BẢO VỆ KL")),"")</f>
        <v/>
      </c>
      <c r="K31" s="138">
        <f>IF(OR(ISNUMBER(F31),ISNUMBER(G31)),IF(ISBLANK(G31),"Kỹ sư/Thầu phụ cần bóc tách KL bản vẽ",IF(H31&gt;=0,"Được đặt hàng tối đa "&amp;G31&amp;" "&amp;E31,"Vượt dự toán "&amp;ABS(H31)&amp;" "&amp;E31&amp;" (QS giải trình &amp; duyệt sửa BOQ)")),"")</f>
        <v/>
      </c>
    </row>
    <row r="32" ht="56.1" customHeight="1" s="75">
      <c r="A32" s="58" t="inlineStr">
        <is>
          <t>DHKK-A.I.1.23</t>
        </is>
      </c>
      <c r="B32" s="139" t="n"/>
      <c r="C32" s="99" t="inlineStr">
        <is>
          <t>Quạt cấp khí kiểu hướng trục nối ống gió FAF-B1-13 
 + Lưu lượng: 200 l/s
 + Áp suất: 300 Pa</t>
        </is>
      </c>
      <c r="D32" s="61" t="inlineStr">
        <is>
          <t>Bộ</t>
        </is>
      </c>
      <c r="E32" s="61" t="inlineStr">
        <is>
          <t>Bộ</t>
        </is>
      </c>
      <c r="F32" s="88" t="n">
        <v>0</v>
      </c>
      <c r="G32" s="85">
        <f>F32</f>
        <v/>
      </c>
      <c r="H32" s="44">
        <f>IF(OR(ISNUMBER(F32),ISNUMBER(G32)),N(F32)-N(G32),"")</f>
        <v/>
      </c>
      <c r="I32" s="137" t="n"/>
      <c r="J32" s="117">
        <f>IF(OR(ISNUMBER(F32),ISNUMBER(G32)),IF(ISBLANK(G32),"⚠️ Chưa bóc tách định mức",IF(H32&gt;=0,"✅ OK - Cho phép đặt hàng","❌ CHẶN ĐẶT HÀNG - CẦN BẢO VỆ KL")),"")</f>
        <v/>
      </c>
      <c r="K32" s="138">
        <f>IF(OR(ISNUMBER(F32),ISNUMBER(G32)),IF(ISBLANK(G32),"Kỹ sư/Thầu phụ cần bóc tách KL bản vẽ",IF(H32&gt;=0,"Được đặt hàng tối đa "&amp;G32&amp;" "&amp;E32,"Vượt dự toán "&amp;ABS(H32)&amp;" "&amp;E32&amp;" (QS giải trình &amp; duyệt sửa BOQ)")),"")</f>
        <v/>
      </c>
    </row>
    <row r="33" ht="56.1" customHeight="1" s="75">
      <c r="A33" s="58" t="inlineStr">
        <is>
          <t>DHKK-A.I.1.24</t>
        </is>
      </c>
      <c r="B33" s="140" t="n"/>
      <c r="C33" s="99" t="inlineStr">
        <is>
          <t>Quạt gắn tường EAF-B2-11,13,18,19,22,23 kèm MFD
 + Lưu lượng: 100 l/s
 + Áp suất: 50 Pa</t>
        </is>
      </c>
      <c r="D33" s="61" t="inlineStr">
        <is>
          <t>Bộ</t>
        </is>
      </c>
      <c r="E33" s="61" t="inlineStr">
        <is>
          <t>Bộ</t>
        </is>
      </c>
      <c r="F33" s="88" t="n">
        <v>2</v>
      </c>
      <c r="G33" s="85">
        <f>F33</f>
        <v/>
      </c>
      <c r="H33" s="42">
        <f>IF(OR(ISNUMBER(F33),ISNUMBER(G33)),N(F33)-N(G33),"")</f>
        <v/>
      </c>
      <c r="I33" s="137" t="n"/>
      <c r="J33" s="117">
        <f>IF(OR(ISNUMBER(F33),ISNUMBER(G33)),IF(ISBLANK(G33),"⚠️ Chưa bóc tách định mức",IF(H33&gt;=0,"✅ OK - Cho phép đặt hàng","❌ CHẶN ĐẶT HÀNG - CẦN BẢO VỆ KL")),"")</f>
        <v/>
      </c>
      <c r="K33" s="138">
        <f>IF(OR(ISNUMBER(F33),ISNUMBER(G33)),IF(ISBLANK(G33),"Kỹ sư/Thầu phụ cần bóc tách KL bản vẽ",IF(H33&gt;=0,"Được đặt hàng tối đa "&amp;G33&amp;" "&amp;E33,"Vượt dự toán "&amp;ABS(H33)&amp;" "&amp;E33&amp;" (QS giải trình &amp; duyệt sửa BOQ)")),"")</f>
        <v/>
      </c>
    </row>
    <row r="34" ht="56.1" customHeight="1" s="75">
      <c r="A34" s="58" t="inlineStr">
        <is>
          <t>DHKK-A.I.1.25</t>
        </is>
      </c>
      <c r="B34" s="140" t="n"/>
      <c r="C34" s="99" t="inlineStr">
        <is>
          <t>Quạt gắn tường EAF-B2-12,14,15,16,17,20,21 kèm MFD
 + Lưu lượng: 200 l/s
 + Áp suất: 50 Pa</t>
        </is>
      </c>
      <c r="D34" s="61" t="inlineStr">
        <is>
          <t>Bộ</t>
        </is>
      </c>
      <c r="E34" s="61" t="inlineStr">
        <is>
          <t>Bộ</t>
        </is>
      </c>
      <c r="F34" s="88" t="n">
        <v>5</v>
      </c>
      <c r="G34" s="85">
        <f>F34</f>
        <v/>
      </c>
      <c r="H34" s="42">
        <f>IF(OR(ISNUMBER(F34),ISNUMBER(G34)),N(F34)-N(G34),"")</f>
        <v/>
      </c>
      <c r="I34" s="137" t="n"/>
      <c r="J34" s="117">
        <f>IF(OR(ISNUMBER(F34),ISNUMBER(G34)),IF(ISBLANK(G34),"⚠️ Chưa bóc tách định mức",IF(H34&gt;=0,"✅ OK - Cho phép đặt hàng","❌ CHẶN ĐẶT HÀNG - CẦN BẢO VỆ KL")),"")</f>
        <v/>
      </c>
      <c r="K34" s="138">
        <f>IF(OR(ISNUMBER(F34),ISNUMBER(G34)),IF(ISBLANK(G34),"Kỹ sư/Thầu phụ cần bóc tách KL bản vẽ",IF(H34&gt;=0,"Được đặt hàng tối đa "&amp;G34&amp;" "&amp;E34,"Vượt dự toán "&amp;ABS(H34)&amp;" "&amp;E34&amp;" (QS giải trình &amp; duyệt sửa BOQ)")),"")</f>
        <v/>
      </c>
    </row>
    <row r="35" ht="56.1" customHeight="1" s="75">
      <c r="A35" s="58" t="inlineStr">
        <is>
          <t>DHKK-A.I.1.26</t>
        </is>
      </c>
      <c r="B35" s="140" t="n"/>
      <c r="C35" s="99" t="inlineStr">
        <is>
          <t>Quạt gắn tường EAF-B1-11,13,18,19,22,23,24 kèm MFD
 + Lưu lượng: 100 l/s
 + Áp suất: 50 Pa</t>
        </is>
      </c>
      <c r="D35" s="61" t="inlineStr">
        <is>
          <t>Bộ</t>
        </is>
      </c>
      <c r="E35" s="61" t="inlineStr">
        <is>
          <t>Bộ</t>
        </is>
      </c>
      <c r="F35" s="88" t="n">
        <v>3</v>
      </c>
      <c r="G35" s="85">
        <f>F35</f>
        <v/>
      </c>
      <c r="H35" s="42">
        <f>IF(OR(ISNUMBER(F35),ISNUMBER(G35)),N(F35)-N(G35),"")</f>
        <v/>
      </c>
      <c r="I35" s="137" t="n"/>
      <c r="J35" s="117">
        <f>IF(OR(ISNUMBER(F35),ISNUMBER(G35)),IF(ISBLANK(G35),"⚠️ Chưa bóc tách định mức",IF(H35&gt;=0,"✅ OK - Cho phép đặt hàng","❌ CHẶN ĐẶT HÀNG - CẦN BẢO VỆ KL")),"")</f>
        <v/>
      </c>
      <c r="K35" s="138">
        <f>IF(OR(ISNUMBER(F35),ISNUMBER(G35)),IF(ISBLANK(G35),"Kỹ sư/Thầu phụ cần bóc tách KL bản vẽ",IF(H35&gt;=0,"Được đặt hàng tối đa "&amp;G35&amp;" "&amp;E35,"Vượt dự toán "&amp;ABS(H35)&amp;" "&amp;E35&amp;" (QS giải trình &amp; duyệt sửa BOQ)")),"")</f>
        <v/>
      </c>
    </row>
    <row r="36" ht="56.1" customHeight="1" s="75">
      <c r="A36" s="58" t="inlineStr">
        <is>
          <t>DHKK-A.I.1.27</t>
        </is>
      </c>
      <c r="B36" s="140" t="n"/>
      <c r="C36" s="99" t="inlineStr">
        <is>
          <t>Quạt gắn tường EAF-B1-12,14,15,16,17,20,21 kèm MFD
 + Lưu lượng: 200 l/s
 + Áp suất: 50 Pa</t>
        </is>
      </c>
      <c r="D36" s="61" t="inlineStr">
        <is>
          <t>Bộ</t>
        </is>
      </c>
      <c r="E36" s="61" t="inlineStr">
        <is>
          <t>Bộ</t>
        </is>
      </c>
      <c r="F36" s="88" t="n">
        <v>4</v>
      </c>
      <c r="G36" s="85">
        <f>F36</f>
        <v/>
      </c>
      <c r="H36" s="42">
        <f>IF(OR(ISNUMBER(F36),ISNUMBER(G36)),N(F36)-N(G36),"")</f>
        <v/>
      </c>
      <c r="I36" s="137" t="n"/>
      <c r="J36" s="117">
        <f>IF(OR(ISNUMBER(F36),ISNUMBER(G36)),IF(ISBLANK(G36),"⚠️ Chưa bóc tách định mức",IF(H36&gt;=0,"✅ OK - Cho phép đặt hàng","❌ CHẶN ĐẶT HÀNG - CẦN BẢO VỆ KL")),"")</f>
        <v/>
      </c>
      <c r="K36" s="138">
        <f>IF(OR(ISNUMBER(F36),ISNUMBER(G36)),IF(ISBLANK(G36),"Kỹ sư/Thầu phụ cần bóc tách KL bản vẽ",IF(H36&gt;=0,"Được đặt hàng tối đa "&amp;G36&amp;" "&amp;E36,"Vượt dự toán "&amp;ABS(H36)&amp;" "&amp;E36&amp;" (QS giải trình &amp; duyệt sửa BOQ)")),"")</f>
        <v/>
      </c>
    </row>
    <row r="37" ht="42.3" customHeight="1" s="75">
      <c r="A37" s="58" t="inlineStr">
        <is>
          <t>DHKK-A.I.1.28</t>
        </is>
      </c>
      <c r="B37" s="140" t="n"/>
      <c r="C37" s="99" t="inlineStr">
        <is>
          <t>Quạt gắn tường EAF-B1-25 kèm MFD
 + Lưu lượng: 2500 l/s
 + Áp suất: 50 Pa</t>
        </is>
      </c>
      <c r="D37" s="61" t="inlineStr">
        <is>
          <t>Bộ</t>
        </is>
      </c>
      <c r="E37" s="61" t="inlineStr">
        <is>
          <t>Bộ</t>
        </is>
      </c>
      <c r="F37" s="88" t="n">
        <v>1</v>
      </c>
      <c r="G37" s="85">
        <f>F37</f>
        <v/>
      </c>
      <c r="H37" s="42">
        <f>IF(OR(ISNUMBER(F37),ISNUMBER(G37)),N(F37)-N(G37),"")</f>
        <v/>
      </c>
      <c r="I37" s="137" t="n"/>
      <c r="J37" s="117">
        <f>IF(OR(ISNUMBER(F37),ISNUMBER(G37)),IF(ISBLANK(G37),"⚠️ Chưa bóc tách định mức",IF(H37&gt;=0,"✅ OK - Cho phép đặt hàng","❌ CHẶN ĐẶT HÀNG - CẦN BẢO VỆ KL")),"")</f>
        <v/>
      </c>
      <c r="K37" s="138">
        <f>IF(OR(ISNUMBER(F37),ISNUMBER(G37)),IF(ISBLANK(G37),"Kỹ sư/Thầu phụ cần bóc tách KL bản vẽ",IF(H37&gt;=0,"Được đặt hàng tối đa "&amp;G37&amp;" "&amp;E37,"Vượt dự toán "&amp;ABS(H37)&amp;" "&amp;E37&amp;" (QS giải trình &amp; duyệt sửa BOQ)")),"")</f>
        <v/>
      </c>
    </row>
    <row r="38" ht="42.3" customHeight="1" s="75">
      <c r="A38" s="58" t="inlineStr">
        <is>
          <t>DHKK-A.I.1.29</t>
        </is>
      </c>
      <c r="B38" s="140" t="n"/>
      <c r="C38" s="99" t="inlineStr">
        <is>
          <t>Quạt gắn tường EAF-B1-26 kèm MFD
 + Lưu lượng: 1500 l/s
 + Áp suất: 50 Pa</t>
        </is>
      </c>
      <c r="D38" s="61" t="inlineStr">
        <is>
          <t>Bộ</t>
        </is>
      </c>
      <c r="E38" s="61" t="inlineStr">
        <is>
          <t>Bộ</t>
        </is>
      </c>
      <c r="F38" s="88" t="n">
        <v>1</v>
      </c>
      <c r="G38" s="85">
        <f>F38</f>
        <v/>
      </c>
      <c r="H38" s="42">
        <f>IF(OR(ISNUMBER(F38),ISNUMBER(G38)),N(F38)-N(G38),"")</f>
        <v/>
      </c>
      <c r="I38" s="137" t="n"/>
      <c r="J38" s="117">
        <f>IF(OR(ISNUMBER(F38),ISNUMBER(G38)),IF(ISBLANK(G38),"⚠️ Chưa bóc tách định mức",IF(H38&gt;=0,"✅ OK - Cho phép đặt hàng","❌ CHẶN ĐẶT HÀNG - CẦN BẢO VỆ KL")),"")</f>
        <v/>
      </c>
      <c r="K38" s="138">
        <f>IF(OR(ISNUMBER(F38),ISNUMBER(G38)),IF(ISBLANK(G38),"Kỹ sư/Thầu phụ cần bóc tách KL bản vẽ",IF(H38&gt;=0,"Được đặt hàng tối đa "&amp;G38&amp;" "&amp;E38,"Vượt dự toán "&amp;ABS(H38)&amp;" "&amp;E38&amp;" (QS giải trình &amp; duyệt sửa BOQ)")),"")</f>
        <v/>
      </c>
    </row>
    <row r="39" ht="42.3" customHeight="1" s="75">
      <c r="A39" s="58" t="inlineStr">
        <is>
          <t>DHKK-A.I.1.30</t>
        </is>
      </c>
      <c r="B39" s="139" t="n"/>
      <c r="C39" s="99" t="inlineStr">
        <is>
          <t>Quạt gắn tường EAF-B1-27,28 kèm MFD
 + Lưu lượng: 600 l/s
 + Áp suất: 50 Pa</t>
        </is>
      </c>
      <c r="D39" s="61" t="inlineStr">
        <is>
          <t>Bộ</t>
        </is>
      </c>
      <c r="E39" s="61" t="inlineStr">
        <is>
          <t>Bộ</t>
        </is>
      </c>
      <c r="F39" s="88" t="n">
        <v>2</v>
      </c>
      <c r="G39" s="85">
        <f>F39</f>
        <v/>
      </c>
      <c r="H39" s="42">
        <f>IF(OR(ISNUMBER(F39),ISNUMBER(G39)),N(F39)-N(G39),"")</f>
        <v/>
      </c>
      <c r="I39" s="137" t="n"/>
      <c r="J39" s="117">
        <f>IF(OR(ISNUMBER(F39),ISNUMBER(G39)),IF(ISBLANK(G39),"⚠️ Chưa bóc tách định mức",IF(H39&gt;=0,"✅ OK - Cho phép đặt hàng","❌ CHẶN ĐẶT HÀNG - CẦN BẢO VỆ KL")),"")</f>
        <v/>
      </c>
      <c r="K39" s="138">
        <f>IF(OR(ISNUMBER(F39),ISNUMBER(G39)),IF(ISBLANK(G39),"Kỹ sư/Thầu phụ cần bóc tách KL bản vẽ",IF(H39&gt;=0,"Được đặt hàng tối đa "&amp;G39&amp;" "&amp;E39,"Vượt dự toán "&amp;ABS(H39)&amp;" "&amp;E39&amp;" (QS giải trình &amp; duyệt sửa BOQ)")),"")</f>
        <v/>
      </c>
    </row>
    <row r="40" ht="42.3" customHeight="1" s="75">
      <c r="A40" s="58" t="inlineStr">
        <is>
          <t>DHKK-A.I.1.31</t>
        </is>
      </c>
      <c r="B40" s="140" t="n"/>
      <c r="C40" s="99" t="inlineStr">
        <is>
          <t>Quạt gắn tường EAF-B1-29 kèm MFD
 + Lưu lượng: 2500 l/s
 + Áp suất: 50 Pa</t>
        </is>
      </c>
      <c r="D40" s="61" t="inlineStr">
        <is>
          <t>Bộ</t>
        </is>
      </c>
      <c r="E40" s="61" t="inlineStr">
        <is>
          <t>Bộ</t>
        </is>
      </c>
      <c r="F40" s="88" t="n">
        <v>0</v>
      </c>
      <c r="G40" s="85">
        <f>F40</f>
        <v/>
      </c>
      <c r="H40" s="44">
        <f>IF(OR(ISNUMBER(F40),ISNUMBER(G40)),N(F40)-N(G40),"")</f>
        <v/>
      </c>
      <c r="I40" s="137" t="n"/>
      <c r="J40" s="117">
        <f>IF(OR(ISNUMBER(F40),ISNUMBER(G40)),IF(ISBLANK(G40),"⚠️ Chưa bóc tách định mức",IF(H40&gt;=0,"✅ OK - Cho phép đặt hàng","❌ CHẶN ĐẶT HÀNG - CẦN BẢO VỆ KL")),"")</f>
        <v/>
      </c>
      <c r="K40" s="138">
        <f>IF(OR(ISNUMBER(F40),ISNUMBER(G40)),IF(ISBLANK(G40),"Kỹ sư/Thầu phụ cần bóc tách KL bản vẽ",IF(H40&gt;=0,"Được đặt hàng tối đa "&amp;G40&amp;" "&amp;E40,"Vượt dự toán "&amp;ABS(H40)&amp;" "&amp;E40&amp;" (QS giải trình &amp; duyệt sửa BOQ)")),"")</f>
        <v/>
      </c>
    </row>
    <row r="41" ht="42.3" customHeight="1" s="75">
      <c r="A41" s="58" t="inlineStr">
        <is>
          <t>DHKK-A.I.1.32</t>
        </is>
      </c>
      <c r="B41" s="24" t="n"/>
      <c r="C41" s="99" t="inlineStr">
        <is>
          <t>Quạt gắn tường EAF-B1-30 kèm MFD
 + Lưu lượng: 1500 l/s
 + Áp suất: 50 Pa</t>
        </is>
      </c>
      <c r="D41" s="61" t="inlineStr">
        <is>
          <t>Bộ</t>
        </is>
      </c>
      <c r="E41" s="61" t="inlineStr">
        <is>
          <t>Bộ</t>
        </is>
      </c>
      <c r="F41" s="88" t="n">
        <v>0</v>
      </c>
      <c r="G41" s="85">
        <f>F41</f>
        <v/>
      </c>
      <c r="H41" s="44">
        <f>IF(OR(ISNUMBER(F41),ISNUMBER(G41)),N(F41)-N(G41),"")</f>
        <v/>
      </c>
      <c r="I41" s="137" t="n"/>
      <c r="J41" s="117">
        <f>IF(OR(ISNUMBER(F41),ISNUMBER(G41)),IF(ISBLANK(G41),"⚠️ Chưa bóc tách định mức",IF(H41&gt;=0,"✅ OK - Cho phép đặt hàng","❌ CHẶN ĐẶT HÀNG - CẦN BẢO VỆ KL")),"")</f>
        <v/>
      </c>
      <c r="K41" s="138">
        <f>IF(OR(ISNUMBER(F41),ISNUMBER(G41)),IF(ISBLANK(G41),"Kỹ sư/Thầu phụ cần bóc tách KL bản vẽ",IF(H41&gt;=0,"Được đặt hàng tối đa "&amp;G41&amp;" "&amp;E41,"Vượt dự toán "&amp;ABS(H41)&amp;" "&amp;E41&amp;" (QS giải trình &amp; duyệt sửa BOQ)")),"")</f>
        <v/>
      </c>
    </row>
    <row r="42" ht="42.3" customHeight="1" s="75">
      <c r="A42" s="58" t="inlineStr">
        <is>
          <t>DHKK-A.I.1.33</t>
        </is>
      </c>
      <c r="B42" s="140" t="n"/>
      <c r="C42" s="99" t="inlineStr">
        <is>
          <t>Quạt hút khí kiểu gắn trần nối ống gió EAF-B1-31
 + Lưu lượng: 25 l/s
 + Áp suất: 50 Pa</t>
        </is>
      </c>
      <c r="D42" s="61" t="inlineStr">
        <is>
          <t>Bộ</t>
        </is>
      </c>
      <c r="E42" s="61" t="inlineStr">
        <is>
          <t>Bộ</t>
        </is>
      </c>
      <c r="F42" s="88" t="n">
        <v>1</v>
      </c>
      <c r="G42" s="85">
        <f>F42</f>
        <v/>
      </c>
      <c r="H42" s="42">
        <f>IF(OR(ISNUMBER(F42),ISNUMBER(G42)),N(F42)-N(G42),"")</f>
        <v/>
      </c>
      <c r="I42" s="137" t="n"/>
      <c r="J42" s="117">
        <f>IF(OR(ISNUMBER(F42),ISNUMBER(G42)),IF(ISBLANK(G42),"⚠️ Chưa bóc tách định mức",IF(H42&gt;=0,"✅ OK - Cho phép đặt hàng","❌ CHẶN ĐẶT HÀNG - CẦN BẢO VỆ KL")),"")</f>
        <v/>
      </c>
      <c r="K42" s="138">
        <f>IF(OR(ISNUMBER(F42),ISNUMBER(G42)),IF(ISBLANK(G42),"Kỹ sư/Thầu phụ cần bóc tách KL bản vẽ",IF(H42&gt;=0,"Được đặt hàng tối đa "&amp;G42&amp;" "&amp;E42,"Vượt dự toán "&amp;ABS(H42)&amp;" "&amp;E42&amp;" (QS giải trình &amp; duyệt sửa BOQ)")),"")</f>
        <v/>
      </c>
    </row>
    <row r="43" ht="42.3" customHeight="1" s="75">
      <c r="A43" s="58" t="inlineStr">
        <is>
          <t>DHKK-A.I.1.34</t>
        </is>
      </c>
      <c r="B43" s="24" t="n"/>
      <c r="C43" s="99" t="inlineStr">
        <is>
          <t>Quạt hút khí kiểu gắn trần nối ống gió EAF-B1-32
 + Lưu lượng: 50 l/s
 + Áp suất: 50 Pa</t>
        </is>
      </c>
      <c r="D43" s="61" t="inlineStr">
        <is>
          <t>Bộ</t>
        </is>
      </c>
      <c r="E43" s="61" t="inlineStr">
        <is>
          <t>Bộ</t>
        </is>
      </c>
      <c r="F43" s="88" t="n">
        <v>0</v>
      </c>
      <c r="G43" s="85">
        <f>F43</f>
        <v/>
      </c>
      <c r="H43" s="44">
        <f>IF(OR(ISNUMBER(F43),ISNUMBER(G43)),N(F43)-N(G43),"")</f>
        <v/>
      </c>
      <c r="I43" s="137" t="n"/>
      <c r="J43" s="117">
        <f>IF(OR(ISNUMBER(F43),ISNUMBER(G43)),IF(ISBLANK(G43),"⚠️ Chưa bóc tách định mức",IF(H43&gt;=0,"✅ OK - Cho phép đặt hàng","❌ CHẶN ĐẶT HÀNG - CẦN BẢO VỆ KL")),"")</f>
        <v/>
      </c>
      <c r="K43" s="138">
        <f>IF(OR(ISNUMBER(F43),ISNUMBER(G43)),IF(ISBLANK(G43),"Kỹ sư/Thầu phụ cần bóc tách KL bản vẽ",IF(H43&gt;=0,"Được đặt hàng tối đa "&amp;G43&amp;" "&amp;E43,"Vượt dự toán "&amp;ABS(H43)&amp;" "&amp;E43&amp;" (QS giải trình &amp; duyệt sửa BOQ)")),"")</f>
        <v/>
      </c>
    </row>
    <row r="44" ht="15.6" customHeight="1" s="75">
      <c r="A44" s="58" t="inlineStr">
        <is>
          <t>DHKK-A.I.1.35</t>
        </is>
      </c>
      <c r="B44" s="140" t="n"/>
      <c r="C44" s="100" t="inlineStr">
        <is>
          <t>Quạt đảo gắn tường</t>
        </is>
      </c>
      <c r="D44" s="61" t="inlineStr">
        <is>
          <t>Bộ</t>
        </is>
      </c>
      <c r="E44" s="61" t="inlineStr">
        <is>
          <t>Bộ</t>
        </is>
      </c>
      <c r="F44" s="88" t="n">
        <v>10</v>
      </c>
      <c r="G44" s="85">
        <f>F44</f>
        <v/>
      </c>
      <c r="H44" s="42">
        <f>IF(OR(ISNUMBER(F44),ISNUMBER(G44)),N(F44)-N(G44),"")</f>
        <v/>
      </c>
      <c r="I44" s="137" t="n"/>
      <c r="J44" s="117">
        <f>IF(OR(ISNUMBER(F44),ISNUMBER(G44)),IF(ISBLANK(G44),"⚠️ Chưa bóc tách định mức",IF(H44&gt;=0,"✅ OK - Cho phép đặt hàng","❌ CHẶN ĐẶT HÀNG - CẦN BẢO VỆ KL")),"")</f>
        <v/>
      </c>
      <c r="K44" s="138">
        <f>IF(OR(ISNUMBER(F44),ISNUMBER(G44)),IF(ISBLANK(G44),"Kỹ sư/Thầu phụ cần bóc tách KL bản vẽ",IF(H44&gt;=0,"Được đặt hàng tối đa "&amp;G44&amp;" "&amp;E44,"Vượt dự toán "&amp;ABS(H44)&amp;" "&amp;E44&amp;" (QS giải trình &amp; duyệt sửa BOQ)")),"")</f>
        <v/>
      </c>
    </row>
    <row r="45" ht="15.6" customHeight="1" s="75">
      <c r="A45" s="58" t="inlineStr">
        <is>
          <t>DHKK-A.I.1.36</t>
        </is>
      </c>
      <c r="B45" s="140" t="n"/>
      <c r="C45" s="99" t="inlineStr">
        <is>
          <t>Nối mềm cho quạt</t>
        </is>
      </c>
      <c r="D45" s="61" t="inlineStr">
        <is>
          <t>Bộ</t>
        </is>
      </c>
      <c r="E45" s="61" t="inlineStr">
        <is>
          <t>Bộ</t>
        </is>
      </c>
      <c r="F45" s="88" t="n">
        <v>14</v>
      </c>
      <c r="G45" s="85">
        <f>F45</f>
        <v/>
      </c>
      <c r="H45" s="42">
        <f>IF(OR(ISNUMBER(F45),ISNUMBER(G45)),N(F45)-N(G45),"")</f>
        <v/>
      </c>
      <c r="I45" s="142" t="inlineStr">
        <is>
          <t>1 bộ gồm 2 cái</t>
        </is>
      </c>
      <c r="J45" s="117">
        <f>IF(OR(ISNUMBER(F45),ISNUMBER(G45)),IF(ISBLANK(G45),"⚠️ Chưa bóc tách định mức",IF(H45&gt;=0,"✅ OK - Cho phép đặt hàng","❌ CHẶN ĐẶT HÀNG - CẦN BẢO VỆ KL")),"")</f>
        <v/>
      </c>
      <c r="K45" s="138">
        <f>IF(OR(ISNUMBER(F45),ISNUMBER(G45)),IF(ISBLANK(G45),"Kỹ sư/Thầu phụ cần bóc tách KL bản vẽ",IF(H45&gt;=0,"Được đặt hàng tối đa "&amp;G45&amp;" "&amp;E45,"Vượt dự toán "&amp;ABS(H45)&amp;" "&amp;E45&amp;" (QS giải trình &amp; duyệt sửa BOQ)")),"")</f>
        <v/>
      </c>
    </row>
    <row r="46" ht="15.6" customHeight="1" s="75">
      <c r="A46" s="58" t="inlineStr">
        <is>
          <t>DHKK-A.I.1.37</t>
        </is>
      </c>
      <c r="B46" s="24" t="n"/>
      <c r="C46" s="99" t="inlineStr">
        <is>
          <t>Nối mềm chống cháy cho quạt</t>
        </is>
      </c>
      <c r="D46" s="61" t="inlineStr">
        <is>
          <t>Bộ</t>
        </is>
      </c>
      <c r="E46" s="61" t="inlineStr">
        <is>
          <t>Bộ</t>
        </is>
      </c>
      <c r="F46" s="88" t="n">
        <v>12</v>
      </c>
      <c r="G46" s="85">
        <f>F46</f>
        <v/>
      </c>
      <c r="H46" s="42">
        <f>IF(OR(ISNUMBER(F46),ISNUMBER(G46)),N(F46)-N(G46),"")</f>
        <v/>
      </c>
      <c r="I46" s="142" t="inlineStr">
        <is>
          <t>1 bộ gồm 2 cái</t>
        </is>
      </c>
      <c r="J46" s="117">
        <f>IF(OR(ISNUMBER(F46),ISNUMBER(G46)),IF(ISBLANK(G46),"⚠️ Chưa bóc tách định mức",IF(H46&gt;=0,"✅ OK - Cho phép đặt hàng","❌ CHẶN ĐẶT HÀNG - CẦN BẢO VỆ KL")),"")</f>
        <v/>
      </c>
      <c r="K46" s="138">
        <f>IF(OR(ISNUMBER(F46),ISNUMBER(G46)),IF(ISBLANK(G46),"Kỹ sư/Thầu phụ cần bóc tách KL bản vẽ",IF(H46&gt;=0,"Được đặt hàng tối đa "&amp;G46&amp;" "&amp;E46,"Vượt dự toán "&amp;ABS(H46)&amp;" "&amp;E46&amp;" (QS giải trình &amp; duyệt sửa BOQ)")),"")</f>
        <v/>
      </c>
    </row>
    <row r="47" ht="13.8" customHeight="1" s="75">
      <c r="A47" s="80" t="n"/>
      <c r="B47" s="139" t="n"/>
      <c r="C47" s="101" t="n"/>
      <c r="D47" s="24" t="n"/>
      <c r="E47" s="24" t="n"/>
      <c r="F47" s="85" t="n"/>
      <c r="G47" s="85" t="n"/>
      <c r="H47" s="44" t="n"/>
      <c r="I47" s="137" t="n"/>
    </row>
    <row r="48" ht="14.1" customHeight="1" s="75">
      <c r="A48" s="80" t="n"/>
      <c r="B48" s="37" t="n">
        <v>2</v>
      </c>
      <c r="C48" s="98" t="inlineStr">
        <is>
          <t>Miệng gió, van gió</t>
        </is>
      </c>
      <c r="D48" s="24" t="n"/>
      <c r="E48" s="24" t="n"/>
      <c r="F48" s="85" t="n"/>
      <c r="G48" s="85" t="n"/>
      <c r="H48" s="44" t="n"/>
      <c r="I48" s="137" t="n"/>
    </row>
    <row r="49" ht="15.6" customHeight="1" s="75">
      <c r="A49" s="58" t="inlineStr">
        <is>
          <t>DHKK-A.I.2.1</t>
        </is>
      </c>
      <c r="B49" s="140" t="n"/>
      <c r="C49" s="99" t="inlineStr">
        <is>
          <t>FAG 200x200 kèm OBD</t>
        </is>
      </c>
      <c r="D49" s="61" t="inlineStr">
        <is>
          <t>Cái</t>
        </is>
      </c>
      <c r="E49" s="61" t="inlineStr">
        <is>
          <t>Cái</t>
        </is>
      </c>
      <c r="F49" s="88" t="n">
        <v>5</v>
      </c>
      <c r="G49" s="85">
        <f>F49</f>
        <v/>
      </c>
      <c r="H49" s="42">
        <f>IF(OR(ISNUMBER(F49),ISNUMBER(G49)),N(F49)-N(G49),"")</f>
        <v/>
      </c>
      <c r="I49" s="142" t="inlineStr">
        <is>
          <t>Miệng gió loại nan bầu dục 1 lớp nan kèm OBD</t>
        </is>
      </c>
      <c r="J49" s="117">
        <f>IF(OR(ISNUMBER(F49),ISNUMBER(G49)),IF(ISBLANK(G49),"⚠️ Chưa bóc tách định mức",IF(H49&gt;=0,"✅ OK - Cho phép đặt hàng","❌ CHẶN ĐẶT HÀNG - CẦN BẢO VỆ KL")),"")</f>
        <v/>
      </c>
      <c r="K49" s="138">
        <f>IF(OR(ISNUMBER(F49),ISNUMBER(G49)),IF(ISBLANK(G49),"Kỹ sư/Thầu phụ cần bóc tách KL bản vẽ",IF(H49&gt;=0,"Được đặt hàng tối đa "&amp;G49&amp;" "&amp;E49,"Vượt dự toán "&amp;ABS(H49)&amp;" "&amp;E49&amp;" (QS giải trình &amp; duyệt sửa BOQ)")),"")</f>
        <v/>
      </c>
    </row>
    <row r="50" ht="15.6" customHeight="1" s="75">
      <c r="A50" s="58" t="inlineStr">
        <is>
          <t>DHKK-A.I.2.2</t>
        </is>
      </c>
      <c r="B50" s="140" t="n"/>
      <c r="C50" s="99" t="inlineStr">
        <is>
          <t>FAG 800x600 kèm OBD</t>
        </is>
      </c>
      <c r="D50" s="61" t="inlineStr">
        <is>
          <t>Cái</t>
        </is>
      </c>
      <c r="E50" s="61" t="inlineStr">
        <is>
          <t>Cái</t>
        </is>
      </c>
      <c r="F50" s="88" t="n">
        <v>100</v>
      </c>
      <c r="G50" s="85">
        <f>F50</f>
        <v/>
      </c>
      <c r="H50" s="42">
        <f>IF(OR(ISNUMBER(F50),ISNUMBER(G50)),N(F50)-N(G50),"")</f>
        <v/>
      </c>
      <c r="I50" s="142" t="inlineStr">
        <is>
          <t>Miệng gió loại nan bầu dục 1 lớp nan kèm OBD</t>
        </is>
      </c>
      <c r="J50" s="117">
        <f>IF(OR(ISNUMBER(F50),ISNUMBER(G50)),IF(ISBLANK(G50),"⚠️ Chưa bóc tách định mức",IF(H50&gt;=0,"✅ OK - Cho phép đặt hàng","❌ CHẶN ĐẶT HÀNG - CẦN BẢO VỆ KL")),"")</f>
        <v/>
      </c>
      <c r="K50" s="138">
        <f>IF(OR(ISNUMBER(F50),ISNUMBER(G50)),IF(ISBLANK(G50),"Kỹ sư/Thầu phụ cần bóc tách KL bản vẽ",IF(H50&gt;=0,"Được đặt hàng tối đa "&amp;G50&amp;" "&amp;E50,"Vượt dự toán "&amp;ABS(H50)&amp;" "&amp;E50&amp;" (QS giải trình &amp; duyệt sửa BOQ)")),"")</f>
        <v/>
      </c>
    </row>
    <row r="51" ht="15.6" customHeight="1" s="75">
      <c r="A51" s="58" t="inlineStr">
        <is>
          <t>DHKK-A.I.2.3</t>
        </is>
      </c>
      <c r="B51" s="140" t="n"/>
      <c r="C51" s="99" t="inlineStr">
        <is>
          <t>EAG 1200x350 kèm OBD</t>
        </is>
      </c>
      <c r="D51" s="61" t="inlineStr">
        <is>
          <t>Cái</t>
        </is>
      </c>
      <c r="E51" s="61" t="inlineStr">
        <is>
          <t>Cái</t>
        </is>
      </c>
      <c r="F51" s="88" t="n">
        <v>48</v>
      </c>
      <c r="G51" s="85">
        <f>F51</f>
        <v/>
      </c>
      <c r="H51" s="42">
        <f>IF(OR(ISNUMBER(F51),ISNUMBER(G51)),N(F51)-N(G51),"")</f>
        <v/>
      </c>
      <c r="I51" s="142" t="inlineStr">
        <is>
          <t>Miệng gió loại nan bầu dục 1 lớp nan kèm OBD</t>
        </is>
      </c>
      <c r="J51" s="117">
        <f>IF(OR(ISNUMBER(F51),ISNUMBER(G51)),IF(ISBLANK(G51),"⚠️ Chưa bóc tách định mức",IF(H51&gt;=0,"✅ OK - Cho phép đặt hàng","❌ CHẶN ĐẶT HÀNG - CẦN BẢO VỆ KL")),"")</f>
        <v/>
      </c>
      <c r="K51" s="138">
        <f>IF(OR(ISNUMBER(F51),ISNUMBER(G51)),IF(ISBLANK(G51),"Kỹ sư/Thầu phụ cần bóc tách KL bản vẽ",IF(H51&gt;=0,"Được đặt hàng tối đa "&amp;G51&amp;" "&amp;E51,"Vượt dự toán "&amp;ABS(H51)&amp;" "&amp;E51&amp;" (QS giải trình &amp; duyệt sửa BOQ)")),"")</f>
        <v/>
      </c>
    </row>
    <row r="52" ht="15.6" customHeight="1" s="75">
      <c r="A52" s="58" t="inlineStr">
        <is>
          <t>DHKK-A.I.2.4</t>
        </is>
      </c>
      <c r="B52" s="24" t="n"/>
      <c r="C52" s="99" t="inlineStr">
        <is>
          <t>EAG 1200x400 kèm OBD</t>
        </is>
      </c>
      <c r="D52" s="61" t="inlineStr">
        <is>
          <t>Cái</t>
        </is>
      </c>
      <c r="E52" s="61" t="inlineStr">
        <is>
          <t>Cái</t>
        </is>
      </c>
      <c r="F52" s="88" t="n">
        <v>48</v>
      </c>
      <c r="G52" s="85">
        <f>F52</f>
        <v/>
      </c>
      <c r="H52" s="42">
        <f>IF(OR(ISNUMBER(F52),ISNUMBER(G52)),N(F52)-N(G52),"")</f>
        <v/>
      </c>
      <c r="I52" s="142" t="inlineStr">
        <is>
          <t>Miệng gió loại nan bầu dục 1 lớp nan kèm OBD</t>
        </is>
      </c>
      <c r="J52" s="117">
        <f>IF(OR(ISNUMBER(F52),ISNUMBER(G52)),IF(ISBLANK(G52),"⚠️ Chưa bóc tách định mức",IF(H52&gt;=0,"✅ OK - Cho phép đặt hàng","❌ CHẶN ĐẶT HÀNG - CẦN BẢO VỆ KL")),"")</f>
        <v/>
      </c>
      <c r="K52" s="138">
        <f>IF(OR(ISNUMBER(F52),ISNUMBER(G52)),IF(ISBLANK(G52),"Kỹ sư/Thầu phụ cần bóc tách KL bản vẽ",IF(H52&gt;=0,"Được đặt hàng tối đa "&amp;G52&amp;" "&amp;E52,"Vượt dự toán "&amp;ABS(H52)&amp;" "&amp;E52&amp;" (QS giải trình &amp; duyệt sửa BOQ)")),"")</f>
        <v/>
      </c>
    </row>
    <row r="53" ht="15.6" customHeight="1" s="75">
      <c r="A53" s="58" t="inlineStr">
        <is>
          <t>DHKK-A.I.2.5</t>
        </is>
      </c>
      <c r="B53" s="139" t="n"/>
      <c r="C53" s="99" t="inlineStr">
        <is>
          <t>EAG 500x500 kèm OBD</t>
        </is>
      </c>
      <c r="D53" s="61" t="inlineStr">
        <is>
          <t>Cái</t>
        </is>
      </c>
      <c r="E53" s="61" t="inlineStr">
        <is>
          <t>Cái</t>
        </is>
      </c>
      <c r="F53" s="88" t="n">
        <v>0</v>
      </c>
      <c r="G53" s="85">
        <f>F53</f>
        <v/>
      </c>
      <c r="H53" s="44">
        <f>IF(OR(ISNUMBER(F53),ISNUMBER(G53)),N(F53)-N(G53),"")</f>
        <v/>
      </c>
      <c r="I53" s="142" t="inlineStr">
        <is>
          <t>Miệng gió loại nan bầu dục 1 lớp nan kèm OBD</t>
        </is>
      </c>
      <c r="J53" s="117">
        <f>IF(OR(ISNUMBER(F53),ISNUMBER(G53)),IF(ISBLANK(G53),"⚠️ Chưa bóc tách định mức",IF(H53&gt;=0,"✅ OK - Cho phép đặt hàng","❌ CHẶN ĐẶT HÀNG - CẦN BẢO VỆ KL")),"")</f>
        <v/>
      </c>
      <c r="K53" s="138">
        <f>IF(OR(ISNUMBER(F53),ISNUMBER(G53)),IF(ISBLANK(G53),"Kỹ sư/Thầu phụ cần bóc tách KL bản vẽ",IF(H53&gt;=0,"Được đặt hàng tối đa "&amp;G53&amp;" "&amp;E53,"Vượt dự toán "&amp;ABS(H53)&amp;" "&amp;E53&amp;" (QS giải trình &amp; duyệt sửa BOQ)")),"")</f>
        <v/>
      </c>
    </row>
    <row r="54" ht="15.6" customHeight="1" s="75">
      <c r="A54" s="58" t="inlineStr">
        <is>
          <t>DHKK-A.I.2.6</t>
        </is>
      </c>
      <c r="B54" s="140" t="n"/>
      <c r="C54" s="99" t="inlineStr">
        <is>
          <t>EAL 200x150+I.S</t>
        </is>
      </c>
      <c r="D54" s="61" t="inlineStr">
        <is>
          <t>Cái</t>
        </is>
      </c>
      <c r="E54" s="61" t="inlineStr">
        <is>
          <t>Cái</t>
        </is>
      </c>
      <c r="F54" s="88" t="n">
        <v>1</v>
      </c>
      <c r="G54" s="85">
        <f>F54</f>
        <v/>
      </c>
      <c r="H54" s="42">
        <f>IF(OR(ISNUMBER(F54),ISNUMBER(G54)),N(F54)-N(G54),"")</f>
        <v/>
      </c>
      <c r="I54" s="142" t="inlineStr">
        <is>
          <t>Louver nan Z kèm LCCT</t>
        </is>
      </c>
      <c r="J54" s="117">
        <f>IF(OR(ISNUMBER(F54),ISNUMBER(G54)),IF(ISBLANK(G54),"⚠️ Chưa bóc tách định mức",IF(H54&gt;=0,"✅ OK - Cho phép đặt hàng","❌ CHẶN ĐẶT HÀNG - CẦN BẢO VỆ KL")),"")</f>
        <v/>
      </c>
      <c r="K54" s="138">
        <f>IF(OR(ISNUMBER(F54),ISNUMBER(G54)),IF(ISBLANK(G54),"Kỹ sư/Thầu phụ cần bóc tách KL bản vẽ",IF(H54&gt;=0,"Được đặt hàng tối đa "&amp;G54&amp;" "&amp;E54,"Vượt dự toán "&amp;ABS(H54)&amp;" "&amp;E54&amp;" (QS giải trình &amp; duyệt sửa BOQ)")),"")</f>
        <v/>
      </c>
    </row>
    <row r="55" ht="15.6" customHeight="1" s="75">
      <c r="A55" s="58" t="inlineStr">
        <is>
          <t>DHKK-A.I.2.7</t>
        </is>
      </c>
      <c r="B55" s="139" t="n"/>
      <c r="C55" s="99" t="inlineStr">
        <is>
          <t>FAL 400x200</t>
        </is>
      </c>
      <c r="D55" s="61" t="inlineStr">
        <is>
          <t>Cái</t>
        </is>
      </c>
      <c r="E55" s="61" t="inlineStr">
        <is>
          <t>Cái</t>
        </is>
      </c>
      <c r="F55" s="88" t="n">
        <v>4</v>
      </c>
      <c r="G55" s="85">
        <f>F55</f>
        <v/>
      </c>
      <c r="H55" s="42">
        <f>IF(OR(ISNUMBER(F55),ISNUMBER(G55)),N(F55)-N(G55),"")</f>
        <v/>
      </c>
      <c r="I55" s="142" t="inlineStr">
        <is>
          <t>Louver nan Z kèm LCCT</t>
        </is>
      </c>
      <c r="J55" s="117">
        <f>IF(OR(ISNUMBER(F55),ISNUMBER(G55)),IF(ISBLANK(G55),"⚠️ Chưa bóc tách định mức",IF(H55&gt;=0,"✅ OK - Cho phép đặt hàng","❌ CHẶN ĐẶT HÀNG - CẦN BẢO VỆ KL")),"")</f>
        <v/>
      </c>
      <c r="K55" s="138">
        <f>IF(OR(ISNUMBER(F55),ISNUMBER(G55)),IF(ISBLANK(G55),"Kỹ sư/Thầu phụ cần bóc tách KL bản vẽ",IF(H55&gt;=0,"Được đặt hàng tối đa "&amp;G55&amp;" "&amp;E55,"Vượt dự toán "&amp;ABS(H55)&amp;" "&amp;E55&amp;" (QS giải trình &amp; duyệt sửa BOQ)")),"")</f>
        <v/>
      </c>
    </row>
    <row r="56" ht="15.6" customHeight="1" s="75">
      <c r="A56" s="58" t="inlineStr">
        <is>
          <t>DHKK-A.I.2.8</t>
        </is>
      </c>
      <c r="B56" s="140" t="n"/>
      <c r="C56" s="99" t="inlineStr">
        <is>
          <t>FAL 400x400</t>
        </is>
      </c>
      <c r="D56" s="61" t="inlineStr">
        <is>
          <t>Cái</t>
        </is>
      </c>
      <c r="E56" s="61" t="inlineStr">
        <is>
          <t>Cái</t>
        </is>
      </c>
      <c r="F56" s="88" t="n">
        <v>10</v>
      </c>
      <c r="G56" s="85">
        <f>F56</f>
        <v/>
      </c>
      <c r="H56" s="42">
        <f>IF(OR(ISNUMBER(F56),ISNUMBER(G56)),N(F56)-N(G56),"")</f>
        <v/>
      </c>
      <c r="I56" s="142" t="inlineStr">
        <is>
          <t>Louver nan Z kèm LCCT</t>
        </is>
      </c>
      <c r="J56" s="117">
        <f>IF(OR(ISNUMBER(F56),ISNUMBER(G56)),IF(ISBLANK(G56),"⚠️ Chưa bóc tách định mức",IF(H56&gt;=0,"✅ OK - Cho phép đặt hàng","❌ CHẶN ĐẶT HÀNG - CẦN BẢO VỆ KL")),"")</f>
        <v/>
      </c>
      <c r="K56" s="138">
        <f>IF(OR(ISNUMBER(F56),ISNUMBER(G56)),IF(ISBLANK(G56),"Kỹ sư/Thầu phụ cần bóc tách KL bản vẽ",IF(H56&gt;=0,"Được đặt hàng tối đa "&amp;G56&amp;" "&amp;E56,"Vượt dự toán "&amp;ABS(H56)&amp;" "&amp;E56&amp;" (QS giải trình &amp; duyệt sửa BOQ)")),"")</f>
        <v/>
      </c>
    </row>
    <row r="57" ht="15.6" customHeight="1" s="75">
      <c r="A57" s="58" t="inlineStr">
        <is>
          <t>DHKK-A.I.2.9</t>
        </is>
      </c>
      <c r="B57" s="139" t="n"/>
      <c r="C57" s="99" t="inlineStr">
        <is>
          <t>FAL 1000x300+I.S</t>
        </is>
      </c>
      <c r="D57" s="61" t="inlineStr">
        <is>
          <t>Cái</t>
        </is>
      </c>
      <c r="E57" s="61" t="inlineStr">
        <is>
          <t>Cái</t>
        </is>
      </c>
      <c r="F57" s="88" t="n">
        <v>2</v>
      </c>
      <c r="G57" s="85">
        <f>F57</f>
        <v/>
      </c>
      <c r="H57" s="42">
        <f>IF(OR(ISNUMBER(F57),ISNUMBER(G57)),N(F57)-N(G57),"")</f>
        <v/>
      </c>
      <c r="I57" s="142" t="inlineStr">
        <is>
          <t>Louver nan Z kèm LCCT</t>
        </is>
      </c>
      <c r="J57" s="117">
        <f>IF(OR(ISNUMBER(F57),ISNUMBER(G57)),IF(ISBLANK(G57),"⚠️ Chưa bóc tách định mức",IF(H57&gt;=0,"✅ OK - Cho phép đặt hàng","❌ CHẶN ĐẶT HÀNG - CẦN BẢO VỆ KL")),"")</f>
        <v/>
      </c>
      <c r="K57" s="138">
        <f>IF(OR(ISNUMBER(F57),ISNUMBER(G57)),IF(ISBLANK(G57),"Kỹ sư/Thầu phụ cần bóc tách KL bản vẽ",IF(H57&gt;=0,"Được đặt hàng tối đa "&amp;G57&amp;" "&amp;E57,"Vượt dự toán "&amp;ABS(H57)&amp;" "&amp;E57&amp;" (QS giải trình &amp; duyệt sửa BOQ)")),"")</f>
        <v/>
      </c>
    </row>
    <row r="58" ht="15.6" customHeight="1" s="75">
      <c r="A58" s="58" t="inlineStr">
        <is>
          <t>DHKK-A.I.2.10</t>
        </is>
      </c>
      <c r="B58" s="139" t="n"/>
      <c r="C58" s="99" t="inlineStr">
        <is>
          <t>FAL 1000x1000+I.S</t>
        </is>
      </c>
      <c r="D58" s="61" t="inlineStr">
        <is>
          <t>Cái</t>
        </is>
      </c>
      <c r="E58" s="61" t="inlineStr">
        <is>
          <t>Cái</t>
        </is>
      </c>
      <c r="F58" s="88" t="n">
        <v>1</v>
      </c>
      <c r="G58" s="85">
        <f>F58</f>
        <v/>
      </c>
      <c r="H58" s="42">
        <f>IF(OR(ISNUMBER(F58),ISNUMBER(G58)),N(F58)-N(G58),"")</f>
        <v/>
      </c>
      <c r="I58" s="142" t="inlineStr">
        <is>
          <t>Louver nan Z kèm LCCT</t>
        </is>
      </c>
      <c r="J58" s="117">
        <f>IF(OR(ISNUMBER(F58),ISNUMBER(G58)),IF(ISBLANK(G58),"⚠️ Chưa bóc tách định mức",IF(H58&gt;=0,"✅ OK - Cho phép đặt hàng","❌ CHẶN ĐẶT HÀNG - CẦN BẢO VỆ KL")),"")</f>
        <v/>
      </c>
      <c r="K58" s="138">
        <f>IF(OR(ISNUMBER(F58),ISNUMBER(G58)),IF(ISBLANK(G58),"Kỹ sư/Thầu phụ cần bóc tách KL bản vẽ",IF(H58&gt;=0,"Được đặt hàng tối đa "&amp;G58&amp;" "&amp;E58,"Vượt dự toán "&amp;ABS(H58)&amp;" "&amp;E58&amp;" (QS giải trình &amp; duyệt sửa BOQ)")),"")</f>
        <v/>
      </c>
    </row>
    <row r="59" ht="15.6" customHeight="1" s="75">
      <c r="A59" s="58" t="inlineStr">
        <is>
          <t>DHKK-A.I.2.11</t>
        </is>
      </c>
      <c r="B59" s="140" t="n"/>
      <c r="C59" s="99" t="inlineStr">
        <is>
          <t>FAL 1000x1500+I.S</t>
        </is>
      </c>
      <c r="D59" s="61" t="inlineStr">
        <is>
          <t>Cái</t>
        </is>
      </c>
      <c r="E59" s="61" t="inlineStr">
        <is>
          <t>Cái</t>
        </is>
      </c>
      <c r="F59" s="88" t="n">
        <v>1</v>
      </c>
      <c r="G59" s="85">
        <f>F59</f>
        <v/>
      </c>
      <c r="H59" s="42">
        <f>IF(OR(ISNUMBER(F59),ISNUMBER(G59)),N(F59)-N(G59),"")</f>
        <v/>
      </c>
      <c r="I59" s="142" t="inlineStr">
        <is>
          <t>Louver nan Z kèm LCCT</t>
        </is>
      </c>
      <c r="J59" s="117">
        <f>IF(OR(ISNUMBER(F59),ISNUMBER(G59)),IF(ISBLANK(G59),"⚠️ Chưa bóc tách định mức",IF(H59&gt;=0,"✅ OK - Cho phép đặt hàng","❌ CHẶN ĐẶT HÀNG - CẦN BẢO VỆ KL")),"")</f>
        <v/>
      </c>
      <c r="K59" s="138">
        <f>IF(OR(ISNUMBER(F59),ISNUMBER(G59)),IF(ISBLANK(G59),"Kỹ sư/Thầu phụ cần bóc tách KL bản vẽ",IF(H59&gt;=0,"Được đặt hàng tối đa "&amp;G59&amp;" "&amp;E59,"Vượt dự toán "&amp;ABS(H59)&amp;" "&amp;E59&amp;" (QS giải trình &amp; duyệt sửa BOQ)")),"")</f>
        <v/>
      </c>
    </row>
    <row r="60" ht="15.6" customHeight="1" s="75">
      <c r="A60" s="58" t="inlineStr">
        <is>
          <t>DHKK-A.I.2.12</t>
        </is>
      </c>
      <c r="B60" s="140" t="n"/>
      <c r="C60" s="99" t="inlineStr">
        <is>
          <t>FAL 1500x1000+I.S</t>
        </is>
      </c>
      <c r="D60" s="61" t="inlineStr">
        <is>
          <t>Cái</t>
        </is>
      </c>
      <c r="E60" s="61" t="inlineStr">
        <is>
          <t>Cái</t>
        </is>
      </c>
      <c r="F60" s="88" t="n">
        <v>0</v>
      </c>
      <c r="G60" s="85">
        <f>F60</f>
        <v/>
      </c>
      <c r="H60" s="44">
        <f>IF(OR(ISNUMBER(F60),ISNUMBER(G60)),N(F60)-N(G60),"")</f>
        <v/>
      </c>
      <c r="I60" s="142" t="inlineStr">
        <is>
          <t>Louver nan Z kèm LCCT</t>
        </is>
      </c>
      <c r="J60" s="117">
        <f>IF(OR(ISNUMBER(F60),ISNUMBER(G60)),IF(ISBLANK(G60),"⚠️ Chưa bóc tách định mức",IF(H60&gt;=0,"✅ OK - Cho phép đặt hàng","❌ CHẶN ĐẶT HÀNG - CẦN BẢO VỆ KL")),"")</f>
        <v/>
      </c>
      <c r="K60" s="138">
        <f>IF(OR(ISNUMBER(F60),ISNUMBER(G60)),IF(ISBLANK(G60),"Kỹ sư/Thầu phụ cần bóc tách KL bản vẽ",IF(H60&gt;=0,"Được đặt hàng tối đa "&amp;G60&amp;" "&amp;E60,"Vượt dự toán "&amp;ABS(H60)&amp;" "&amp;E60&amp;" (QS giải trình &amp; duyệt sửa BOQ)")),"")</f>
        <v/>
      </c>
    </row>
    <row r="61" ht="15.6" customHeight="1" s="75">
      <c r="A61" s="58" t="inlineStr">
        <is>
          <t>DHKK-A.I.2.13</t>
        </is>
      </c>
      <c r="B61" s="140" t="n"/>
      <c r="C61" s="99" t="inlineStr">
        <is>
          <t>MFD 1400x1400</t>
        </is>
      </c>
      <c r="D61" s="61" t="inlineStr">
        <is>
          <t>Cái</t>
        </is>
      </c>
      <c r="E61" s="61" t="inlineStr">
        <is>
          <t>Cái</t>
        </is>
      </c>
      <c r="F61" s="88" t="n">
        <v>0</v>
      </c>
      <c r="G61" s="85">
        <f>F61</f>
        <v/>
      </c>
      <c r="H61" s="44">
        <f>IF(OR(ISNUMBER(F61),ISNUMBER(G61)),N(F61)-N(G61),"")</f>
        <v/>
      </c>
      <c r="I61" s="142" t="inlineStr">
        <is>
          <t>EI60</t>
        </is>
      </c>
      <c r="J61" s="117">
        <f>IF(OR(ISNUMBER(F61),ISNUMBER(G61)),IF(ISBLANK(G61),"⚠️ Chưa bóc tách định mức",IF(H61&gt;=0,"✅ OK - Cho phép đặt hàng","❌ CHẶN ĐẶT HÀNG - CẦN BẢO VỆ KL")),"")</f>
        <v/>
      </c>
      <c r="K61" s="138">
        <f>IF(OR(ISNUMBER(F61),ISNUMBER(G61)),IF(ISBLANK(G61),"Kỹ sư/Thầu phụ cần bóc tách KL bản vẽ",IF(H61&gt;=0,"Được đặt hàng tối đa "&amp;G61&amp;" "&amp;E61,"Vượt dự toán "&amp;ABS(H61)&amp;" "&amp;E61&amp;" (QS giải trình &amp; duyệt sửa BOQ)")),"")</f>
        <v/>
      </c>
    </row>
    <row r="62" ht="15.6" customHeight="1" s="75">
      <c r="A62" s="58" t="inlineStr">
        <is>
          <t>DHKK-A.I.2.14</t>
        </is>
      </c>
      <c r="B62" s="139" t="n"/>
      <c r="C62" s="99" t="inlineStr">
        <is>
          <t>MFD 1100x1100</t>
        </is>
      </c>
      <c r="D62" s="61" t="inlineStr">
        <is>
          <t>Cái</t>
        </is>
      </c>
      <c r="E62" s="61" t="inlineStr">
        <is>
          <t>Cái</t>
        </is>
      </c>
      <c r="F62" s="88" t="n">
        <v>0</v>
      </c>
      <c r="G62" s="85">
        <f>F62</f>
        <v/>
      </c>
      <c r="H62" s="44">
        <f>IF(OR(ISNUMBER(F62),ISNUMBER(G62)),N(F62)-N(G62),"")</f>
        <v/>
      </c>
      <c r="I62" s="142" t="inlineStr">
        <is>
          <t>EI60</t>
        </is>
      </c>
      <c r="J62" s="117">
        <f>IF(OR(ISNUMBER(F62),ISNUMBER(G62)),IF(ISBLANK(G62),"⚠️ Chưa bóc tách định mức",IF(H62&gt;=0,"✅ OK - Cho phép đặt hàng","❌ CHẶN ĐẶT HÀNG - CẦN BẢO VỆ KL")),"")</f>
        <v/>
      </c>
      <c r="K62" s="138">
        <f>IF(OR(ISNUMBER(F62),ISNUMBER(G62)),IF(ISBLANK(G62),"Kỹ sư/Thầu phụ cần bóc tách KL bản vẽ",IF(H62&gt;=0,"Được đặt hàng tối đa "&amp;G62&amp;" "&amp;E62,"Vượt dự toán "&amp;ABS(H62)&amp;" "&amp;E62&amp;" (QS giải trình &amp; duyệt sửa BOQ)")),"")</f>
        <v/>
      </c>
    </row>
    <row r="63" ht="15.6" customHeight="1" s="75">
      <c r="A63" s="58" t="inlineStr">
        <is>
          <t>DHKK-A.I.2.15</t>
        </is>
      </c>
      <c r="B63" s="140" t="n"/>
      <c r="C63" s="99" t="inlineStr">
        <is>
          <t>MFD 1250x1250</t>
        </is>
      </c>
      <c r="D63" s="61" t="inlineStr">
        <is>
          <t>Cái</t>
        </is>
      </c>
      <c r="E63" s="61" t="inlineStr">
        <is>
          <t>Cái</t>
        </is>
      </c>
      <c r="F63" s="88" t="n">
        <v>0</v>
      </c>
      <c r="G63" s="85">
        <f>F63</f>
        <v/>
      </c>
      <c r="H63" s="44">
        <f>IF(OR(ISNUMBER(F63),ISNUMBER(G63)),N(F63)-N(G63),"")</f>
        <v/>
      </c>
      <c r="I63" s="142" t="inlineStr">
        <is>
          <t>EI60</t>
        </is>
      </c>
      <c r="J63" s="117">
        <f>IF(OR(ISNUMBER(F63),ISNUMBER(G63)),IF(ISBLANK(G63),"⚠️ Chưa bóc tách định mức",IF(H63&gt;=0,"✅ OK - Cho phép đặt hàng","❌ CHẶN ĐẶT HÀNG - CẦN BẢO VỆ KL")),"")</f>
        <v/>
      </c>
      <c r="K63" s="138">
        <f>IF(OR(ISNUMBER(F63),ISNUMBER(G63)),IF(ISBLANK(G63),"Kỹ sư/Thầu phụ cần bóc tách KL bản vẽ",IF(H63&gt;=0,"Được đặt hàng tối đa "&amp;G63&amp;" "&amp;E63,"Vượt dự toán "&amp;ABS(H63)&amp;" "&amp;E63&amp;" (QS giải trình &amp; duyệt sửa BOQ)")),"")</f>
        <v/>
      </c>
    </row>
    <row r="64" ht="15.6" customHeight="1" s="75">
      <c r="A64" s="58" t="inlineStr">
        <is>
          <t>DHKK-A.I.2.16</t>
        </is>
      </c>
      <c r="B64" s="24" t="n"/>
      <c r="C64" s="100" t="inlineStr">
        <is>
          <t>MFD 1400x500</t>
        </is>
      </c>
      <c r="D64" s="61" t="inlineStr">
        <is>
          <t>Cái</t>
        </is>
      </c>
      <c r="E64" s="61" t="inlineStr">
        <is>
          <t>Cái</t>
        </is>
      </c>
      <c r="F64" s="88" t="n">
        <v>12</v>
      </c>
      <c r="G64" s="85">
        <f>F64</f>
        <v/>
      </c>
      <c r="H64" s="42">
        <f>IF(OR(ISNUMBER(F64),ISNUMBER(G64)),N(F64)-N(G64),"")</f>
        <v/>
      </c>
      <c r="I64" s="142" t="inlineStr">
        <is>
          <t>EI60</t>
        </is>
      </c>
      <c r="J64" s="117">
        <f>IF(OR(ISNUMBER(F64),ISNUMBER(G64)),IF(ISBLANK(G64),"⚠️ Chưa bóc tách định mức",IF(H64&gt;=0,"✅ OK - Cho phép đặt hàng","❌ CHẶN ĐẶT HÀNG - CẦN BẢO VỆ KL")),"")</f>
        <v/>
      </c>
      <c r="K64" s="138">
        <f>IF(OR(ISNUMBER(F64),ISNUMBER(G64)),IF(ISBLANK(G64),"Kỹ sư/Thầu phụ cần bóc tách KL bản vẽ",IF(H64&gt;=0,"Được đặt hàng tối đa "&amp;G64&amp;" "&amp;E64,"Vượt dự toán "&amp;ABS(H64)&amp;" "&amp;E64&amp;" (QS giải trình &amp; duyệt sửa BOQ)")),"")</f>
        <v/>
      </c>
    </row>
    <row r="65" ht="15.6" customHeight="1" s="75">
      <c r="A65" s="58" t="inlineStr">
        <is>
          <t>DHKK-A.I.2.17</t>
        </is>
      </c>
      <c r="B65" s="139" t="n"/>
      <c r="C65" s="100" t="inlineStr">
        <is>
          <t>MFD 1400x600</t>
        </is>
      </c>
      <c r="D65" s="61" t="inlineStr">
        <is>
          <t>Cái</t>
        </is>
      </c>
      <c r="E65" s="61" t="inlineStr">
        <is>
          <t>Cái</t>
        </is>
      </c>
      <c r="F65" s="88" t="n">
        <v>11</v>
      </c>
      <c r="G65" s="85">
        <f>F65</f>
        <v/>
      </c>
      <c r="H65" s="42">
        <f>IF(OR(ISNUMBER(F65),ISNUMBER(G65)),N(F65)-N(G65),"")</f>
        <v/>
      </c>
      <c r="I65" s="142" t="inlineStr">
        <is>
          <t>EI60</t>
        </is>
      </c>
      <c r="J65" s="117">
        <f>IF(OR(ISNUMBER(F65),ISNUMBER(G65)),IF(ISBLANK(G65),"⚠️ Chưa bóc tách định mức",IF(H65&gt;=0,"✅ OK - Cho phép đặt hàng","❌ CHẶN ĐẶT HÀNG - CẦN BẢO VỆ KL")),"")</f>
        <v/>
      </c>
      <c r="K65" s="138">
        <f>IF(OR(ISNUMBER(F65),ISNUMBER(G65)),IF(ISBLANK(G65),"Kỹ sư/Thầu phụ cần bóc tách KL bản vẽ",IF(H65&gt;=0,"Được đặt hàng tối đa "&amp;G65&amp;" "&amp;E65,"Vượt dự toán "&amp;ABS(H65)&amp;" "&amp;E65&amp;" (QS giải trình &amp; duyệt sửa BOQ)")),"")</f>
        <v/>
      </c>
    </row>
    <row r="66" ht="15.6" customHeight="1" s="75">
      <c r="A66" s="58" t="inlineStr">
        <is>
          <t>DHKK-A.I.2.18</t>
        </is>
      </c>
      <c r="B66" s="140" t="n"/>
      <c r="C66" s="100" t="inlineStr">
        <is>
          <t>MFD 1400x700</t>
        </is>
      </c>
      <c r="D66" s="61" t="inlineStr">
        <is>
          <t>Cái</t>
        </is>
      </c>
      <c r="E66" s="61" t="inlineStr">
        <is>
          <t>Cái</t>
        </is>
      </c>
      <c r="F66" s="88" t="n">
        <v>0</v>
      </c>
      <c r="G66" s="85">
        <f>F66</f>
        <v/>
      </c>
      <c r="H66" s="44">
        <f>IF(OR(ISNUMBER(F66),ISNUMBER(G66)),N(F66)-N(G66),"")</f>
        <v/>
      </c>
      <c r="I66" s="142" t="inlineStr">
        <is>
          <t>EI60</t>
        </is>
      </c>
      <c r="J66" s="117">
        <f>IF(OR(ISNUMBER(F66),ISNUMBER(G66)),IF(ISBLANK(G66),"⚠️ Chưa bóc tách định mức",IF(H66&gt;=0,"✅ OK - Cho phép đặt hàng","❌ CHẶN ĐẶT HÀNG - CẦN BẢO VỆ KL")),"")</f>
        <v/>
      </c>
      <c r="K66" s="138">
        <f>IF(OR(ISNUMBER(F66),ISNUMBER(G66)),IF(ISBLANK(G66),"Kỹ sư/Thầu phụ cần bóc tách KL bản vẽ",IF(H66&gt;=0,"Được đặt hàng tối đa "&amp;G66&amp;" "&amp;E66,"Vượt dự toán "&amp;ABS(H66)&amp;" "&amp;E66&amp;" (QS giải trình &amp; duyệt sửa BOQ)")),"")</f>
        <v/>
      </c>
    </row>
    <row r="67" ht="15.6" customHeight="1" s="75">
      <c r="A67" s="58" t="inlineStr">
        <is>
          <t>DHKK-A.I.2.19</t>
        </is>
      </c>
      <c r="B67" s="140" t="n"/>
      <c r="C67" s="100" t="inlineStr">
        <is>
          <t>MFD 1400x800</t>
        </is>
      </c>
      <c r="D67" s="61" t="inlineStr">
        <is>
          <t>Cái</t>
        </is>
      </c>
      <c r="E67" s="61" t="inlineStr">
        <is>
          <t>Cái</t>
        </is>
      </c>
      <c r="F67" s="88" t="n">
        <v>0</v>
      </c>
      <c r="G67" s="85">
        <f>F67</f>
        <v/>
      </c>
      <c r="H67" s="44">
        <f>IF(OR(ISNUMBER(F67),ISNUMBER(G67)),N(F67)-N(G67),"")</f>
        <v/>
      </c>
      <c r="I67" s="142" t="inlineStr">
        <is>
          <t>EI60</t>
        </is>
      </c>
      <c r="J67" s="117">
        <f>IF(OR(ISNUMBER(F67),ISNUMBER(G67)),IF(ISBLANK(G67),"⚠️ Chưa bóc tách định mức",IF(H67&gt;=0,"✅ OK - Cho phép đặt hàng","❌ CHẶN ĐẶT HÀNG - CẦN BẢO VỆ KL")),"")</f>
        <v/>
      </c>
      <c r="K67" s="138">
        <f>IF(OR(ISNUMBER(F67),ISNUMBER(G67)),IF(ISBLANK(G67),"Kỹ sư/Thầu phụ cần bóc tách KL bản vẽ",IF(H67&gt;=0,"Được đặt hàng tối đa "&amp;G67&amp;" "&amp;E67,"Vượt dự toán "&amp;ABS(H67)&amp;" "&amp;E67&amp;" (QS giải trình &amp; duyệt sửa BOQ)")),"")</f>
        <v/>
      </c>
    </row>
    <row r="68" ht="15.6" customHeight="1" s="75">
      <c r="A68" s="58" t="inlineStr">
        <is>
          <t>DHKK-A.I.2.20</t>
        </is>
      </c>
      <c r="B68" s="140" t="n"/>
      <c r="C68" s="99" t="inlineStr">
        <is>
          <t>MFD 1000x300</t>
        </is>
      </c>
      <c r="D68" s="61" t="inlineStr">
        <is>
          <t>Cái</t>
        </is>
      </c>
      <c r="E68" s="61" t="inlineStr">
        <is>
          <t>Cái</t>
        </is>
      </c>
      <c r="F68" s="88" t="n">
        <v>1</v>
      </c>
      <c r="G68" s="85">
        <f>F68</f>
        <v/>
      </c>
      <c r="H68" s="42">
        <f>IF(OR(ISNUMBER(F68),ISNUMBER(G68)),N(F68)-N(G68),"")</f>
        <v/>
      </c>
      <c r="I68" s="142" t="inlineStr">
        <is>
          <t>EI60</t>
        </is>
      </c>
      <c r="J68" s="117">
        <f>IF(OR(ISNUMBER(F68),ISNUMBER(G68)),IF(ISBLANK(G68),"⚠️ Chưa bóc tách định mức",IF(H68&gt;=0,"✅ OK - Cho phép đặt hàng","❌ CHẶN ĐẶT HÀNG - CẦN BẢO VỆ KL")),"")</f>
        <v/>
      </c>
      <c r="K68" s="138">
        <f>IF(OR(ISNUMBER(F68),ISNUMBER(G68)),IF(ISBLANK(G68),"Kỹ sư/Thầu phụ cần bóc tách KL bản vẽ",IF(H68&gt;=0,"Được đặt hàng tối đa "&amp;G68&amp;" "&amp;E68,"Vượt dự toán "&amp;ABS(H68)&amp;" "&amp;E68&amp;" (QS giải trình &amp; duyệt sửa BOQ)")),"")</f>
        <v/>
      </c>
    </row>
    <row r="69" ht="15.6" customHeight="1" s="75">
      <c r="A69" s="58" t="inlineStr">
        <is>
          <t>DHKK-A.I.2.21</t>
        </is>
      </c>
      <c r="B69" s="140" t="n"/>
      <c r="C69" s="99" t="inlineStr">
        <is>
          <t>MFD 1000x1000</t>
        </is>
      </c>
      <c r="D69" s="61" t="inlineStr">
        <is>
          <t>Cái</t>
        </is>
      </c>
      <c r="E69" s="61" t="inlineStr">
        <is>
          <t>Cái</t>
        </is>
      </c>
      <c r="F69" s="88" t="n">
        <v>1</v>
      </c>
      <c r="G69" s="85">
        <f>F69</f>
        <v/>
      </c>
      <c r="H69" s="42">
        <f>IF(OR(ISNUMBER(F69),ISNUMBER(G69)),N(F69)-N(G69),"")</f>
        <v/>
      </c>
      <c r="I69" s="142" t="inlineStr">
        <is>
          <t>EI60</t>
        </is>
      </c>
      <c r="J69" s="117">
        <f>IF(OR(ISNUMBER(F69),ISNUMBER(G69)),IF(ISBLANK(G69),"⚠️ Chưa bóc tách định mức",IF(H69&gt;=0,"✅ OK - Cho phép đặt hàng","❌ CHẶN ĐẶT HÀNG - CẦN BẢO VỆ KL")),"")</f>
        <v/>
      </c>
      <c r="K69" s="138">
        <f>IF(OR(ISNUMBER(F69),ISNUMBER(G69)),IF(ISBLANK(G69),"Kỹ sư/Thầu phụ cần bóc tách KL bản vẽ",IF(H69&gt;=0,"Được đặt hàng tối đa "&amp;G69&amp;" "&amp;E69,"Vượt dự toán "&amp;ABS(H69)&amp;" "&amp;E69&amp;" (QS giải trình &amp; duyệt sửa BOQ)")),"")</f>
        <v/>
      </c>
    </row>
    <row r="70" ht="15.6" customHeight="1" s="75">
      <c r="A70" s="58" t="inlineStr">
        <is>
          <t>DHKK-A.I.2.22</t>
        </is>
      </c>
      <c r="B70" s="139" t="n"/>
      <c r="C70" s="99" t="inlineStr">
        <is>
          <t>MFD 1000x1500</t>
        </is>
      </c>
      <c r="D70" s="61" t="inlineStr">
        <is>
          <t>Cái</t>
        </is>
      </c>
      <c r="E70" s="61" t="inlineStr">
        <is>
          <t>Cái</t>
        </is>
      </c>
      <c r="F70" s="88" t="n">
        <v>1</v>
      </c>
      <c r="G70" s="85">
        <f>F70</f>
        <v/>
      </c>
      <c r="H70" s="42">
        <f>IF(OR(ISNUMBER(F70),ISNUMBER(G70)),N(F70)-N(G70),"")</f>
        <v/>
      </c>
      <c r="I70" s="142" t="inlineStr">
        <is>
          <t>EI60</t>
        </is>
      </c>
      <c r="J70" s="117">
        <f>IF(OR(ISNUMBER(F70),ISNUMBER(G70)),IF(ISBLANK(G70),"⚠️ Chưa bóc tách định mức",IF(H70&gt;=0,"✅ OK - Cho phép đặt hàng","❌ CHẶN ĐẶT HÀNG - CẦN BẢO VỆ KL")),"")</f>
        <v/>
      </c>
      <c r="K70" s="138">
        <f>IF(OR(ISNUMBER(F70),ISNUMBER(G70)),IF(ISBLANK(G70),"Kỹ sư/Thầu phụ cần bóc tách KL bản vẽ",IF(H70&gt;=0,"Được đặt hàng tối đa "&amp;G70&amp;" "&amp;E70,"Vượt dự toán "&amp;ABS(H70)&amp;" "&amp;E70&amp;" (QS giải trình &amp; duyệt sửa BOQ)")),"")</f>
        <v/>
      </c>
    </row>
    <row r="71" ht="15.6" customHeight="1" s="75">
      <c r="A71" s="58" t="inlineStr">
        <is>
          <t>DHKK-A.I.2.23</t>
        </is>
      </c>
      <c r="B71" s="140" t="n"/>
      <c r="C71" s="99" t="inlineStr">
        <is>
          <t>MFD 1500x1000</t>
        </is>
      </c>
      <c r="D71" s="61" t="inlineStr">
        <is>
          <t>Cái</t>
        </is>
      </c>
      <c r="E71" s="61" t="inlineStr">
        <is>
          <t>Cái</t>
        </is>
      </c>
      <c r="F71" s="88" t="n">
        <v>0</v>
      </c>
      <c r="G71" s="85">
        <f>F71</f>
        <v/>
      </c>
      <c r="H71" s="44">
        <f>IF(OR(ISNUMBER(F71),ISNUMBER(G71)),N(F71)-N(G71),"")</f>
        <v/>
      </c>
      <c r="I71" s="142" t="inlineStr">
        <is>
          <t>EI60</t>
        </is>
      </c>
      <c r="J71" s="117">
        <f>IF(OR(ISNUMBER(F71),ISNUMBER(G71)),IF(ISBLANK(G71),"⚠️ Chưa bóc tách định mức",IF(H71&gt;=0,"✅ OK - Cho phép đặt hàng","❌ CHẶN ĐẶT HÀNG - CẦN BẢO VỆ KL")),"")</f>
        <v/>
      </c>
      <c r="K71" s="138">
        <f>IF(OR(ISNUMBER(F71),ISNUMBER(G71)),IF(ISBLANK(G71),"Kỹ sư/Thầu phụ cần bóc tách KL bản vẽ",IF(H71&gt;=0,"Được đặt hàng tối đa "&amp;G71&amp;" "&amp;E71,"Vượt dự toán "&amp;ABS(H71)&amp;" "&amp;E71&amp;" (QS giải trình &amp; duyệt sửa BOQ)")),"")</f>
        <v/>
      </c>
    </row>
    <row r="72" ht="15.6" customHeight="1" s="75">
      <c r="A72" s="58" t="inlineStr">
        <is>
          <t>DHKK-A.I.2.24</t>
        </is>
      </c>
      <c r="B72" s="139" t="n"/>
      <c r="C72" s="99" t="inlineStr">
        <is>
          <t>MFD 1600x400</t>
        </is>
      </c>
      <c r="D72" s="61" t="inlineStr">
        <is>
          <t>Cái</t>
        </is>
      </c>
      <c r="E72" s="61" t="inlineStr">
        <is>
          <t>Cái</t>
        </is>
      </c>
      <c r="F72" s="88" t="n">
        <v>0</v>
      </c>
      <c r="G72" s="85">
        <f>F72</f>
        <v/>
      </c>
      <c r="H72" s="44">
        <f>IF(OR(ISNUMBER(F72),ISNUMBER(G72)),N(F72)-N(G72),"")</f>
        <v/>
      </c>
      <c r="I72" s="142" t="inlineStr">
        <is>
          <t>EI60</t>
        </is>
      </c>
      <c r="J72" s="117">
        <f>IF(OR(ISNUMBER(F72),ISNUMBER(G72)),IF(ISBLANK(G72),"⚠️ Chưa bóc tách định mức",IF(H72&gt;=0,"✅ OK - Cho phép đặt hàng","❌ CHẶN ĐẶT HÀNG - CẦN BẢO VỆ KL")),"")</f>
        <v/>
      </c>
      <c r="K72" s="138">
        <f>IF(OR(ISNUMBER(F72),ISNUMBER(G72)),IF(ISBLANK(G72),"Kỹ sư/Thầu phụ cần bóc tách KL bản vẽ",IF(H72&gt;=0,"Được đặt hàng tối đa "&amp;G72&amp;" "&amp;E72,"Vượt dự toán "&amp;ABS(H72)&amp;" "&amp;E72&amp;" (QS giải trình &amp; duyệt sửa BOQ)")),"")</f>
        <v/>
      </c>
    </row>
    <row r="73" ht="15.6" customHeight="1" s="75">
      <c r="A73" s="58" t="inlineStr">
        <is>
          <t>DHKK-A.I.2.25</t>
        </is>
      </c>
      <c r="B73" s="140" t="n"/>
      <c r="C73" s="99" t="inlineStr">
        <is>
          <t>MFD 1600x500</t>
        </is>
      </c>
      <c r="D73" s="61" t="inlineStr">
        <is>
          <t>Cái</t>
        </is>
      </c>
      <c r="E73" s="61" t="inlineStr">
        <is>
          <t>Cái</t>
        </is>
      </c>
      <c r="F73" s="88" t="n">
        <v>1</v>
      </c>
      <c r="G73" s="85">
        <f>F73</f>
        <v/>
      </c>
      <c r="H73" s="42">
        <f>IF(OR(ISNUMBER(F73),ISNUMBER(G73)),N(F73)-N(G73),"")</f>
        <v/>
      </c>
      <c r="I73" s="142" t="inlineStr">
        <is>
          <t>EI60</t>
        </is>
      </c>
      <c r="J73" s="117">
        <f>IF(OR(ISNUMBER(F73),ISNUMBER(G73)),IF(ISBLANK(G73),"⚠️ Chưa bóc tách định mức",IF(H73&gt;=0,"✅ OK - Cho phép đặt hàng","❌ CHẶN ĐẶT HÀNG - CẦN BẢO VỆ KL")),"")</f>
        <v/>
      </c>
      <c r="K73" s="138">
        <f>IF(OR(ISNUMBER(F73),ISNUMBER(G73)),IF(ISBLANK(G73),"Kỹ sư/Thầu phụ cần bóc tách KL bản vẽ",IF(H73&gt;=0,"Được đặt hàng tối đa "&amp;G73&amp;" "&amp;E73,"Vượt dự toán "&amp;ABS(H73)&amp;" "&amp;E73&amp;" (QS giải trình &amp; duyệt sửa BOQ)")),"")</f>
        <v/>
      </c>
    </row>
    <row r="74" ht="15.6" customHeight="1" s="75">
      <c r="A74" s="58" t="inlineStr">
        <is>
          <t>DHKK-A.I.2.26</t>
        </is>
      </c>
      <c r="B74" s="140" t="n"/>
      <c r="C74" s="99" t="inlineStr">
        <is>
          <t>MFD 1800x500</t>
        </is>
      </c>
      <c r="D74" s="61" t="inlineStr">
        <is>
          <t>Cái</t>
        </is>
      </c>
      <c r="E74" s="61" t="inlineStr">
        <is>
          <t>Cái</t>
        </is>
      </c>
      <c r="F74" s="88" t="n">
        <v>0</v>
      </c>
      <c r="G74" s="85">
        <f>F74</f>
        <v/>
      </c>
      <c r="H74" s="44">
        <f>IF(OR(ISNUMBER(F74),ISNUMBER(G74)),N(F74)-N(G74),"")</f>
        <v/>
      </c>
      <c r="I74" s="142" t="inlineStr">
        <is>
          <t>EI60</t>
        </is>
      </c>
      <c r="J74" s="117">
        <f>IF(OR(ISNUMBER(F74),ISNUMBER(G74)),IF(ISBLANK(G74),"⚠️ Chưa bóc tách định mức",IF(H74&gt;=0,"✅ OK - Cho phép đặt hàng","❌ CHẶN ĐẶT HÀNG - CẦN BẢO VỆ KL")),"")</f>
        <v/>
      </c>
      <c r="K74" s="138">
        <f>IF(OR(ISNUMBER(F74),ISNUMBER(G74)),IF(ISBLANK(G74),"Kỹ sư/Thầu phụ cần bóc tách KL bản vẽ",IF(H74&gt;=0,"Được đặt hàng tối đa "&amp;G74&amp;" "&amp;E74,"Vượt dự toán "&amp;ABS(H74)&amp;" "&amp;E74&amp;" (QS giải trình &amp; duyệt sửa BOQ)")),"")</f>
        <v/>
      </c>
    </row>
    <row r="75" ht="15.6" customHeight="1" s="75">
      <c r="A75" s="58" t="inlineStr">
        <is>
          <t>DHKK-A.I.2.27</t>
        </is>
      </c>
      <c r="B75" s="139" t="n"/>
      <c r="C75" s="99" t="inlineStr">
        <is>
          <t>MFD 1800x600</t>
        </is>
      </c>
      <c r="D75" s="61" t="inlineStr">
        <is>
          <t>Cái</t>
        </is>
      </c>
      <c r="E75" s="61" t="inlineStr">
        <is>
          <t>Cái</t>
        </is>
      </c>
      <c r="F75" s="88" t="n">
        <v>0</v>
      </c>
      <c r="G75" s="85">
        <f>F75</f>
        <v/>
      </c>
      <c r="H75" s="44">
        <f>IF(OR(ISNUMBER(F75),ISNUMBER(G75)),N(F75)-N(G75),"")</f>
        <v/>
      </c>
      <c r="I75" s="142" t="inlineStr">
        <is>
          <t>EI60</t>
        </is>
      </c>
      <c r="J75" s="117">
        <f>IF(OR(ISNUMBER(F75),ISNUMBER(G75)),IF(ISBLANK(G75),"⚠️ Chưa bóc tách định mức",IF(H75&gt;=0,"✅ OK - Cho phép đặt hàng","❌ CHẶN ĐẶT HÀNG - CẦN BẢO VỆ KL")),"")</f>
        <v/>
      </c>
      <c r="K75" s="138">
        <f>IF(OR(ISNUMBER(F75),ISNUMBER(G75)),IF(ISBLANK(G75),"Kỹ sư/Thầu phụ cần bóc tách KL bản vẽ",IF(H75&gt;=0,"Được đặt hàng tối đa "&amp;G75&amp;" "&amp;E75,"Vượt dự toán "&amp;ABS(H75)&amp;" "&amp;E75&amp;" (QS giải trình &amp; duyệt sửa BOQ)")),"")</f>
        <v/>
      </c>
    </row>
    <row r="76" ht="15.6" customHeight="1" s="75">
      <c r="A76" s="58" t="inlineStr">
        <is>
          <t>DHKK-A.I.2.28</t>
        </is>
      </c>
      <c r="B76" s="140" t="n"/>
      <c r="C76" s="99" t="inlineStr">
        <is>
          <t>MFD 400x200</t>
        </is>
      </c>
      <c r="D76" s="61" t="inlineStr">
        <is>
          <t>Cái</t>
        </is>
      </c>
      <c r="E76" s="61" t="inlineStr">
        <is>
          <t>Cái</t>
        </is>
      </c>
      <c r="F76" s="88" t="n">
        <v>4</v>
      </c>
      <c r="G76" s="85">
        <f>F76</f>
        <v/>
      </c>
      <c r="H76" s="42">
        <f>IF(OR(ISNUMBER(F76),ISNUMBER(G76)),N(F76)-N(G76),"")</f>
        <v/>
      </c>
      <c r="I76" s="142" t="inlineStr">
        <is>
          <t>EI60</t>
        </is>
      </c>
      <c r="J76" s="117">
        <f>IF(OR(ISNUMBER(F76),ISNUMBER(G76)),IF(ISBLANK(G76),"⚠️ Chưa bóc tách định mức",IF(H76&gt;=0,"✅ OK - Cho phép đặt hàng","❌ CHẶN ĐẶT HÀNG - CẦN BẢO VỆ KL")),"")</f>
        <v/>
      </c>
      <c r="K76" s="138">
        <f>IF(OR(ISNUMBER(F76),ISNUMBER(G76)),IF(ISBLANK(G76),"Kỹ sư/Thầu phụ cần bóc tách KL bản vẽ",IF(H76&gt;=0,"Được đặt hàng tối đa "&amp;G76&amp;" "&amp;E76,"Vượt dự toán "&amp;ABS(H76)&amp;" "&amp;E76&amp;" (QS giải trình &amp; duyệt sửa BOQ)")),"")</f>
        <v/>
      </c>
    </row>
    <row r="77" ht="15.6" customHeight="1" s="75">
      <c r="A77" s="58" t="inlineStr">
        <is>
          <t>DHKK-A.I.2.29</t>
        </is>
      </c>
      <c r="B77" s="140" t="n"/>
      <c r="C77" s="99" t="inlineStr">
        <is>
          <t>MFD 400x400</t>
        </is>
      </c>
      <c r="D77" s="61" t="inlineStr">
        <is>
          <t>Cái</t>
        </is>
      </c>
      <c r="E77" s="61" t="inlineStr">
        <is>
          <t>Cái</t>
        </is>
      </c>
      <c r="F77" s="88" t="n">
        <v>10</v>
      </c>
      <c r="G77" s="85">
        <f>F77</f>
        <v/>
      </c>
      <c r="H77" s="42">
        <f>IF(OR(ISNUMBER(F77),ISNUMBER(G77)),N(F77)-N(G77),"")</f>
        <v/>
      </c>
      <c r="I77" s="142" t="inlineStr">
        <is>
          <t>EI60</t>
        </is>
      </c>
      <c r="J77" s="117">
        <f>IF(OR(ISNUMBER(F77),ISNUMBER(G77)),IF(ISBLANK(G77),"⚠️ Chưa bóc tách định mức",IF(H77&gt;=0,"✅ OK - Cho phép đặt hàng","❌ CHẶN ĐẶT HÀNG - CẦN BẢO VỆ KL")),"")</f>
        <v/>
      </c>
      <c r="K77" s="138">
        <f>IF(OR(ISNUMBER(F77),ISNUMBER(G77)),IF(ISBLANK(G77),"Kỹ sư/Thầu phụ cần bóc tách KL bản vẽ",IF(H77&gt;=0,"Được đặt hàng tối đa "&amp;G77&amp;" "&amp;E77,"Vượt dự toán "&amp;ABS(H77)&amp;" "&amp;E77&amp;" (QS giải trình &amp; duyệt sửa BOQ)")),"")</f>
        <v/>
      </c>
    </row>
    <row r="78" ht="15.6" customHeight="1" s="75">
      <c r="A78" s="58" t="inlineStr">
        <is>
          <t>DHKK-A.I.2.30</t>
        </is>
      </c>
      <c r="B78" s="140" t="n"/>
      <c r="C78" s="99" t="inlineStr">
        <is>
          <t>FD 1000x300</t>
        </is>
      </c>
      <c r="D78" s="61" t="inlineStr">
        <is>
          <t>Cái</t>
        </is>
      </c>
      <c r="E78" s="61" t="inlineStr">
        <is>
          <t>Cái</t>
        </is>
      </c>
      <c r="F78" s="88" t="n">
        <v>0</v>
      </c>
      <c r="G78" s="85">
        <f>F78</f>
        <v/>
      </c>
      <c r="H78" s="44">
        <f>IF(OR(ISNUMBER(F78),ISNUMBER(G78)),N(F78)-N(G78),"")</f>
        <v/>
      </c>
      <c r="I78" s="142" t="inlineStr">
        <is>
          <t>EI60</t>
        </is>
      </c>
      <c r="J78" s="117">
        <f>IF(OR(ISNUMBER(F78),ISNUMBER(G78)),IF(ISBLANK(G78),"⚠️ Chưa bóc tách định mức",IF(H78&gt;=0,"✅ OK - Cho phép đặt hàng","❌ CHẶN ĐẶT HÀNG - CẦN BẢO VỆ KL")),"")</f>
        <v/>
      </c>
      <c r="K78" s="138">
        <f>IF(OR(ISNUMBER(F78),ISNUMBER(G78)),IF(ISBLANK(G78),"Kỹ sư/Thầu phụ cần bóc tách KL bản vẽ",IF(H78&gt;=0,"Được đặt hàng tối đa "&amp;G78&amp;" "&amp;E78,"Vượt dự toán "&amp;ABS(H78)&amp;" "&amp;E78&amp;" (QS giải trình &amp; duyệt sửa BOQ)")),"")</f>
        <v/>
      </c>
    </row>
    <row r="79" ht="15.6" customHeight="1" s="75">
      <c r="A79" s="58" t="inlineStr">
        <is>
          <t>DHKK-A.I.2.31</t>
        </is>
      </c>
      <c r="B79" s="140" t="n"/>
      <c r="C79" s="99" t="inlineStr">
        <is>
          <t>FD 400x300</t>
        </is>
      </c>
      <c r="D79" s="61" t="inlineStr">
        <is>
          <t>Cái</t>
        </is>
      </c>
      <c r="E79" s="61" t="inlineStr">
        <is>
          <t>Cái</t>
        </is>
      </c>
      <c r="F79" s="88" t="n">
        <v>0</v>
      </c>
      <c r="G79" s="85">
        <f>F79</f>
        <v/>
      </c>
      <c r="H79" s="44">
        <f>IF(OR(ISNUMBER(F79),ISNUMBER(G79)),N(F79)-N(G79),"")</f>
        <v/>
      </c>
      <c r="I79" s="142" t="inlineStr">
        <is>
          <t>EI60</t>
        </is>
      </c>
      <c r="J79" s="117">
        <f>IF(OR(ISNUMBER(F79),ISNUMBER(G79)),IF(ISBLANK(G79),"⚠️ Chưa bóc tách định mức",IF(H79&gt;=0,"✅ OK - Cho phép đặt hàng","❌ CHẶN ĐẶT HÀNG - CẦN BẢO VỆ KL")),"")</f>
        <v/>
      </c>
      <c r="K79" s="138">
        <f>IF(OR(ISNUMBER(F79),ISNUMBER(G79)),IF(ISBLANK(G79),"Kỹ sư/Thầu phụ cần bóc tách KL bản vẽ",IF(H79&gt;=0,"Được đặt hàng tối đa "&amp;G79&amp;" "&amp;E79,"Vượt dự toán "&amp;ABS(H79)&amp;" "&amp;E79&amp;" (QS giải trình &amp; duyệt sửa BOQ)")),"")</f>
        <v/>
      </c>
    </row>
    <row r="80" ht="15.6" customHeight="1" s="75">
      <c r="A80" s="58" t="inlineStr">
        <is>
          <t>DHKK-A.I.2.32</t>
        </is>
      </c>
      <c r="B80" s="139" t="n"/>
      <c r="C80" s="99" t="inlineStr">
        <is>
          <t>FD 200x300</t>
        </is>
      </c>
      <c r="D80" s="61" t="inlineStr">
        <is>
          <t>Cái</t>
        </is>
      </c>
      <c r="E80" s="61" t="inlineStr">
        <is>
          <t>Cái</t>
        </is>
      </c>
      <c r="F80" s="88" t="n">
        <v>0</v>
      </c>
      <c r="G80" s="85">
        <f>F80</f>
        <v/>
      </c>
      <c r="H80" s="44">
        <f>IF(OR(ISNUMBER(F80),ISNUMBER(G80)),N(F80)-N(G80),"")</f>
        <v/>
      </c>
      <c r="I80" s="142" t="inlineStr">
        <is>
          <t>EI60</t>
        </is>
      </c>
      <c r="J80" s="117">
        <f>IF(OR(ISNUMBER(F80),ISNUMBER(G80)),IF(ISBLANK(G80),"⚠️ Chưa bóc tách định mức",IF(H80&gt;=0,"✅ OK - Cho phép đặt hàng","❌ CHẶN ĐẶT HÀNG - CẦN BẢO VỆ KL")),"")</f>
        <v/>
      </c>
      <c r="K80" s="138">
        <f>IF(OR(ISNUMBER(F80),ISNUMBER(G80)),IF(ISBLANK(G80),"Kỹ sư/Thầu phụ cần bóc tách KL bản vẽ",IF(H80&gt;=0,"Được đặt hàng tối đa "&amp;G80&amp;" "&amp;E80,"Vượt dự toán "&amp;ABS(H80)&amp;" "&amp;E80&amp;" (QS giải trình &amp; duyệt sửa BOQ)")),"")</f>
        <v/>
      </c>
    </row>
    <row r="81" ht="15.6" customHeight="1" s="75">
      <c r="A81" s="58" t="inlineStr">
        <is>
          <t>DHKK-A.I.2.33</t>
        </is>
      </c>
      <c r="B81" s="140" t="n"/>
      <c r="C81" s="99" t="inlineStr">
        <is>
          <t>FD 200x200</t>
        </is>
      </c>
      <c r="D81" s="61" t="inlineStr">
        <is>
          <t>Cái</t>
        </is>
      </c>
      <c r="E81" s="61" t="inlineStr">
        <is>
          <t>Cái</t>
        </is>
      </c>
      <c r="F81" s="88" t="n">
        <v>1</v>
      </c>
      <c r="G81" s="85">
        <f>F81</f>
        <v/>
      </c>
      <c r="H81" s="42">
        <f>IF(OR(ISNUMBER(F81),ISNUMBER(G81)),N(F81)-N(G81),"")</f>
        <v/>
      </c>
      <c r="I81" s="142" t="inlineStr">
        <is>
          <t>EI60</t>
        </is>
      </c>
      <c r="J81" s="117">
        <f>IF(OR(ISNUMBER(F81),ISNUMBER(G81)),IF(ISBLANK(G81),"⚠️ Chưa bóc tách định mức",IF(H81&gt;=0,"✅ OK - Cho phép đặt hàng","❌ CHẶN ĐẶT HÀNG - CẦN BẢO VỆ KL")),"")</f>
        <v/>
      </c>
      <c r="K81" s="138">
        <f>IF(OR(ISNUMBER(F81),ISNUMBER(G81)),IF(ISBLANK(G81),"Kỹ sư/Thầu phụ cần bóc tách KL bản vẽ",IF(H81&gt;=0,"Được đặt hàng tối đa "&amp;G81&amp;" "&amp;E81,"Vượt dự toán "&amp;ABS(H81)&amp;" "&amp;E81&amp;" (QS giải trình &amp; duyệt sửa BOQ)")),"")</f>
        <v/>
      </c>
    </row>
    <row r="82" ht="15.6" customHeight="1" s="75">
      <c r="A82" s="58" t="inlineStr">
        <is>
          <t>DHKK-A.I.2.34</t>
        </is>
      </c>
      <c r="B82" s="24" t="n"/>
      <c r="C82" s="99" t="inlineStr">
        <is>
          <t>FD 200x150</t>
        </is>
      </c>
      <c r="D82" s="61" t="inlineStr">
        <is>
          <t>Cái</t>
        </is>
      </c>
      <c r="E82" s="61" t="inlineStr">
        <is>
          <t>Cái</t>
        </is>
      </c>
      <c r="F82" s="88" t="n">
        <v>1</v>
      </c>
      <c r="G82" s="85">
        <f>F82</f>
        <v/>
      </c>
      <c r="H82" s="42">
        <f>IF(OR(ISNUMBER(F82),ISNUMBER(G82)),N(F82)-N(G82),"")</f>
        <v/>
      </c>
      <c r="I82" s="142" t="inlineStr">
        <is>
          <t>EI60</t>
        </is>
      </c>
      <c r="J82" s="117">
        <f>IF(OR(ISNUMBER(F82),ISNUMBER(G82)),IF(ISBLANK(G82),"⚠️ Chưa bóc tách định mức",IF(H82&gt;=0,"✅ OK - Cho phép đặt hàng","❌ CHẶN ĐẶT HÀNG - CẦN BẢO VỆ KL")),"")</f>
        <v/>
      </c>
      <c r="K82" s="138">
        <f>IF(OR(ISNUMBER(F82),ISNUMBER(G82)),IF(ISBLANK(G82),"Kỹ sư/Thầu phụ cần bóc tách KL bản vẽ",IF(H82&gt;=0,"Được đặt hàng tối đa "&amp;G82&amp;" "&amp;E82,"Vượt dự toán "&amp;ABS(H82)&amp;" "&amp;E82&amp;" (QS giải trình &amp; duyệt sửa BOQ)")),"")</f>
        <v/>
      </c>
    </row>
    <row r="83" ht="15.6" customHeight="1" s="75">
      <c r="A83" s="58" t="inlineStr">
        <is>
          <t>DHKK-A.I.2.35</t>
        </is>
      </c>
      <c r="B83" s="24" t="n"/>
      <c r="C83" s="99" t="inlineStr">
        <is>
          <t>FD 150x150</t>
        </is>
      </c>
      <c r="D83" s="61" t="inlineStr">
        <is>
          <t>Cái</t>
        </is>
      </c>
      <c r="E83" s="61" t="inlineStr">
        <is>
          <t>Cái</t>
        </is>
      </c>
      <c r="F83" s="88" t="n">
        <v>9</v>
      </c>
      <c r="G83" s="85">
        <f>F83</f>
        <v/>
      </c>
      <c r="H83" s="42">
        <f>IF(OR(ISNUMBER(F83),ISNUMBER(G83)),N(F83)-N(G83),"")</f>
        <v/>
      </c>
      <c r="I83" s="142" t="inlineStr">
        <is>
          <t>EI60</t>
        </is>
      </c>
      <c r="J83" s="117">
        <f>IF(OR(ISNUMBER(F83),ISNUMBER(G83)),IF(ISBLANK(G83),"⚠️ Chưa bóc tách định mức",IF(H83&gt;=0,"✅ OK - Cho phép đặt hàng","❌ CHẶN ĐẶT HÀNG - CẦN BẢO VỆ KL")),"")</f>
        <v/>
      </c>
      <c r="K83" s="138">
        <f>IF(OR(ISNUMBER(F83),ISNUMBER(G83)),IF(ISBLANK(G83),"Kỹ sư/Thầu phụ cần bóc tách KL bản vẽ",IF(H83&gt;=0,"Được đặt hàng tối đa "&amp;G83&amp;" "&amp;E83,"Vượt dự toán "&amp;ABS(H83)&amp;" "&amp;E83&amp;" (QS giải trình &amp; duyệt sửa BOQ)")),"")</f>
        <v/>
      </c>
    </row>
    <row r="84" ht="15.6" customHeight="1" s="75">
      <c r="A84" s="58" t="inlineStr">
        <is>
          <t>DHKK-A.I.2.36</t>
        </is>
      </c>
      <c r="B84" s="139" t="n"/>
      <c r="C84" s="99" t="inlineStr">
        <is>
          <t>NRD 1400x1400</t>
        </is>
      </c>
      <c r="D84" s="61" t="inlineStr">
        <is>
          <t>Cái</t>
        </is>
      </c>
      <c r="E84" s="61" t="inlineStr">
        <is>
          <t>Cái</t>
        </is>
      </c>
      <c r="F84" s="88" t="n">
        <v>0</v>
      </c>
      <c r="G84" s="85">
        <f>F84</f>
        <v/>
      </c>
      <c r="H84" s="44">
        <f>IF(OR(ISNUMBER(F84),ISNUMBER(G84)),N(F84)-N(G84),"")</f>
        <v/>
      </c>
      <c r="I84" s="142" t="inlineStr">
        <is>
          <t>EI60</t>
        </is>
      </c>
      <c r="J84" s="117">
        <f>IF(OR(ISNUMBER(F84),ISNUMBER(G84)),IF(ISBLANK(G84),"⚠️ Chưa bóc tách định mức",IF(H84&gt;=0,"✅ OK - Cho phép đặt hàng","❌ CHẶN ĐẶT HÀNG - CẦN BẢO VỆ KL")),"")</f>
        <v/>
      </c>
      <c r="K84" s="138">
        <f>IF(OR(ISNUMBER(F84),ISNUMBER(G84)),IF(ISBLANK(G84),"Kỹ sư/Thầu phụ cần bóc tách KL bản vẽ",IF(H84&gt;=0,"Được đặt hàng tối đa "&amp;G84&amp;" "&amp;E84,"Vượt dự toán "&amp;ABS(H84)&amp;" "&amp;E84&amp;" (QS giải trình &amp; duyệt sửa BOQ)")),"")</f>
        <v/>
      </c>
    </row>
    <row r="85" ht="15.6" customHeight="1" s="75">
      <c r="A85" s="58" t="inlineStr">
        <is>
          <t>DHKK-A.I.2.37</t>
        </is>
      </c>
      <c r="B85" s="139" t="n"/>
      <c r="C85" s="99" t="inlineStr">
        <is>
          <t>NRD 1100x1100</t>
        </is>
      </c>
      <c r="D85" s="61" t="inlineStr">
        <is>
          <t>Cái</t>
        </is>
      </c>
      <c r="E85" s="61" t="inlineStr">
        <is>
          <t>Cái</t>
        </is>
      </c>
      <c r="F85" s="88" t="n">
        <v>0</v>
      </c>
      <c r="G85" s="85">
        <f>F85</f>
        <v/>
      </c>
      <c r="H85" s="44">
        <f>IF(OR(ISNUMBER(F85),ISNUMBER(G85)),N(F85)-N(G85),"")</f>
        <v/>
      </c>
      <c r="I85" s="142" t="inlineStr">
        <is>
          <t>EI60</t>
        </is>
      </c>
      <c r="J85" s="117">
        <f>IF(OR(ISNUMBER(F85),ISNUMBER(G85)),IF(ISBLANK(G85),"⚠️ Chưa bóc tách định mức",IF(H85&gt;=0,"✅ OK - Cho phép đặt hàng","❌ CHẶN ĐẶT HÀNG - CẦN BẢO VỆ KL")),"")</f>
        <v/>
      </c>
      <c r="K85" s="138">
        <f>IF(OR(ISNUMBER(F85),ISNUMBER(G85)),IF(ISBLANK(G85),"Kỹ sư/Thầu phụ cần bóc tách KL bản vẽ",IF(H85&gt;=0,"Được đặt hàng tối đa "&amp;G85&amp;" "&amp;E85,"Vượt dự toán "&amp;ABS(H85)&amp;" "&amp;E85&amp;" (QS giải trình &amp; duyệt sửa BOQ)")),"")</f>
        <v/>
      </c>
    </row>
    <row r="86" ht="15.6" customHeight="1" s="75">
      <c r="A86" s="58" t="inlineStr">
        <is>
          <t>DHKK-A.I.2.38</t>
        </is>
      </c>
      <c r="B86" s="139" t="n"/>
      <c r="C86" s="99" t="inlineStr">
        <is>
          <t>NRD 1250x1250</t>
        </is>
      </c>
      <c r="D86" s="61" t="inlineStr">
        <is>
          <t>Cái</t>
        </is>
      </c>
      <c r="E86" s="61" t="inlineStr">
        <is>
          <t>Cái</t>
        </is>
      </c>
      <c r="F86" s="88" t="n">
        <v>0</v>
      </c>
      <c r="G86" s="85">
        <f>F86</f>
        <v/>
      </c>
      <c r="H86" s="44">
        <f>IF(OR(ISNUMBER(F86),ISNUMBER(G86)),N(F86)-N(G86),"")</f>
        <v/>
      </c>
      <c r="I86" s="142" t="inlineStr">
        <is>
          <t>EI60</t>
        </is>
      </c>
      <c r="J86" s="117">
        <f>IF(OR(ISNUMBER(F86),ISNUMBER(G86)),IF(ISBLANK(G86),"⚠️ Chưa bóc tách định mức",IF(H86&gt;=0,"✅ OK - Cho phép đặt hàng","❌ CHẶN ĐẶT HÀNG - CẦN BẢO VỆ KL")),"")</f>
        <v/>
      </c>
      <c r="K86" s="138">
        <f>IF(OR(ISNUMBER(F86),ISNUMBER(G86)),IF(ISBLANK(G86),"Kỹ sư/Thầu phụ cần bóc tách KL bản vẽ",IF(H86&gt;=0,"Được đặt hàng tối đa "&amp;G86&amp;" "&amp;E86,"Vượt dự toán "&amp;ABS(H86)&amp;" "&amp;E86&amp;" (QS giải trình &amp; duyệt sửa BOQ)")),"")</f>
        <v/>
      </c>
    </row>
    <row r="87" ht="15.6" customHeight="1" s="75">
      <c r="A87" s="58" t="inlineStr">
        <is>
          <t>DHKK-A.I.2.39</t>
        </is>
      </c>
      <c r="B87" s="139" t="n"/>
      <c r="C87" s="100" t="inlineStr">
        <is>
          <t>NRD 1400x500</t>
        </is>
      </c>
      <c r="D87" s="61" t="inlineStr">
        <is>
          <t>Cái</t>
        </is>
      </c>
      <c r="E87" s="61" t="inlineStr">
        <is>
          <t>Cái</t>
        </is>
      </c>
      <c r="F87" s="88" t="n">
        <v>12</v>
      </c>
      <c r="G87" s="85">
        <f>F87</f>
        <v/>
      </c>
      <c r="H87" s="42">
        <f>IF(OR(ISNUMBER(F87),ISNUMBER(G87)),N(F87)-N(G87),"")</f>
        <v/>
      </c>
      <c r="I87" s="142" t="inlineStr">
        <is>
          <t>EI60</t>
        </is>
      </c>
      <c r="J87" s="117">
        <f>IF(OR(ISNUMBER(F87),ISNUMBER(G87)),IF(ISBLANK(G87),"⚠️ Chưa bóc tách định mức",IF(H87&gt;=0,"✅ OK - Cho phép đặt hàng","❌ CHẶN ĐẶT HÀNG - CẦN BẢO VỆ KL")),"")</f>
        <v/>
      </c>
      <c r="K87" s="138">
        <f>IF(OR(ISNUMBER(F87),ISNUMBER(G87)),IF(ISBLANK(G87),"Kỹ sư/Thầu phụ cần bóc tách KL bản vẽ",IF(H87&gt;=0,"Được đặt hàng tối đa "&amp;G87&amp;" "&amp;E87,"Vượt dự toán "&amp;ABS(H87)&amp;" "&amp;E87&amp;" (QS giải trình &amp; duyệt sửa BOQ)")),"")</f>
        <v/>
      </c>
    </row>
    <row r="88" ht="15.6" customHeight="1" s="75">
      <c r="A88" s="58" t="inlineStr">
        <is>
          <t>DHKK-A.I.2.40</t>
        </is>
      </c>
      <c r="B88" s="139" t="n"/>
      <c r="C88" s="100" t="inlineStr">
        <is>
          <t>NRD 1400x600</t>
        </is>
      </c>
      <c r="D88" s="61" t="inlineStr">
        <is>
          <t>Cái</t>
        </is>
      </c>
      <c r="E88" s="61" t="inlineStr">
        <is>
          <t>Cái</t>
        </is>
      </c>
      <c r="F88" s="88" t="n">
        <v>11</v>
      </c>
      <c r="G88" s="85">
        <f>F88</f>
        <v/>
      </c>
      <c r="H88" s="42">
        <f>IF(OR(ISNUMBER(F88),ISNUMBER(G88)),N(F88)-N(G88),"")</f>
        <v/>
      </c>
      <c r="I88" s="142" t="inlineStr">
        <is>
          <t>EI60</t>
        </is>
      </c>
      <c r="J88" s="117">
        <f>IF(OR(ISNUMBER(F88),ISNUMBER(G88)),IF(ISBLANK(G88),"⚠️ Chưa bóc tách định mức",IF(H88&gt;=0,"✅ OK - Cho phép đặt hàng","❌ CHẶN ĐẶT HÀNG - CẦN BẢO VỆ KL")),"")</f>
        <v/>
      </c>
      <c r="K88" s="138">
        <f>IF(OR(ISNUMBER(F88),ISNUMBER(G88)),IF(ISBLANK(G88),"Kỹ sư/Thầu phụ cần bóc tách KL bản vẽ",IF(H88&gt;=0,"Được đặt hàng tối đa "&amp;G88&amp;" "&amp;E88,"Vượt dự toán "&amp;ABS(H88)&amp;" "&amp;E88&amp;" (QS giải trình &amp; duyệt sửa BOQ)")),"")</f>
        <v/>
      </c>
    </row>
    <row r="89" ht="15.6" customHeight="1" s="75">
      <c r="A89" s="58" t="inlineStr">
        <is>
          <t>DHKK-A.I.2.41</t>
        </is>
      </c>
      <c r="B89" s="24" t="n"/>
      <c r="C89" s="100" t="inlineStr">
        <is>
          <t>NRD 1400x700</t>
        </is>
      </c>
      <c r="D89" s="61" t="inlineStr">
        <is>
          <t>Cái</t>
        </is>
      </c>
      <c r="E89" s="61" t="inlineStr">
        <is>
          <t>Cái</t>
        </is>
      </c>
      <c r="F89" s="88" t="n">
        <v>0</v>
      </c>
      <c r="G89" s="85">
        <f>F89</f>
        <v/>
      </c>
      <c r="H89" s="44">
        <f>IF(OR(ISNUMBER(F89),ISNUMBER(G89)),N(F89)-N(G89),"")</f>
        <v/>
      </c>
      <c r="I89" s="142" t="inlineStr">
        <is>
          <t>EI60</t>
        </is>
      </c>
      <c r="J89" s="117">
        <f>IF(OR(ISNUMBER(F89),ISNUMBER(G89)),IF(ISBLANK(G89),"⚠️ Chưa bóc tách định mức",IF(H89&gt;=0,"✅ OK - Cho phép đặt hàng","❌ CHẶN ĐẶT HÀNG - CẦN BẢO VỆ KL")),"")</f>
        <v/>
      </c>
      <c r="K89" s="138">
        <f>IF(OR(ISNUMBER(F89),ISNUMBER(G89)),IF(ISBLANK(G89),"Kỹ sư/Thầu phụ cần bóc tách KL bản vẽ",IF(H89&gt;=0,"Được đặt hàng tối đa "&amp;G89&amp;" "&amp;E89,"Vượt dự toán "&amp;ABS(H89)&amp;" "&amp;E89&amp;" (QS giải trình &amp; duyệt sửa BOQ)")),"")</f>
        <v/>
      </c>
    </row>
    <row r="90" ht="15.6" customHeight="1" s="75">
      <c r="A90" s="58" t="inlineStr">
        <is>
          <t>DHKK-A.I.2.42</t>
        </is>
      </c>
      <c r="B90" s="139" t="n"/>
      <c r="C90" s="100" t="inlineStr">
        <is>
          <t>NRD 1400x800</t>
        </is>
      </c>
      <c r="D90" s="61" t="inlineStr">
        <is>
          <t>Cái</t>
        </is>
      </c>
      <c r="E90" s="61" t="inlineStr">
        <is>
          <t>Cái</t>
        </is>
      </c>
      <c r="F90" s="88" t="n">
        <v>0</v>
      </c>
      <c r="G90" s="85">
        <f>F90</f>
        <v/>
      </c>
      <c r="H90" s="44">
        <f>IF(OR(ISNUMBER(F90),ISNUMBER(G90)),N(F90)-N(G90),"")</f>
        <v/>
      </c>
      <c r="I90" s="142" t="inlineStr">
        <is>
          <t>EI60</t>
        </is>
      </c>
      <c r="J90" s="117">
        <f>IF(OR(ISNUMBER(F90),ISNUMBER(G90)),IF(ISBLANK(G90),"⚠️ Chưa bóc tách định mức",IF(H90&gt;=0,"✅ OK - Cho phép đặt hàng","❌ CHẶN ĐẶT HÀNG - CẦN BẢO VỆ KL")),"")</f>
        <v/>
      </c>
      <c r="K90" s="138">
        <f>IF(OR(ISNUMBER(F90),ISNUMBER(G90)),IF(ISBLANK(G90),"Kỹ sư/Thầu phụ cần bóc tách KL bản vẽ",IF(H90&gt;=0,"Được đặt hàng tối đa "&amp;G90&amp;" "&amp;E90,"Vượt dự toán "&amp;ABS(H90)&amp;" "&amp;E90&amp;" (QS giải trình &amp; duyệt sửa BOQ)")),"")</f>
        <v/>
      </c>
    </row>
    <row r="91" ht="15.6" customHeight="1" s="75">
      <c r="A91" s="58" t="inlineStr">
        <is>
          <t>DHKK-A.I.2.43</t>
        </is>
      </c>
      <c r="B91" s="139" t="n"/>
      <c r="C91" s="99" t="inlineStr">
        <is>
          <t>NRD 1600x500</t>
        </is>
      </c>
      <c r="D91" s="61" t="inlineStr">
        <is>
          <t>Cái</t>
        </is>
      </c>
      <c r="E91" s="61" t="inlineStr">
        <is>
          <t>Cái</t>
        </is>
      </c>
      <c r="F91" s="88" t="n">
        <v>1</v>
      </c>
      <c r="G91" s="85">
        <f>F91</f>
        <v/>
      </c>
      <c r="H91" s="42">
        <f>IF(OR(ISNUMBER(F91),ISNUMBER(G91)),N(F91)-N(G91),"")</f>
        <v/>
      </c>
      <c r="I91" s="142" t="inlineStr">
        <is>
          <t>EI60</t>
        </is>
      </c>
      <c r="J91" s="117">
        <f>IF(OR(ISNUMBER(F91),ISNUMBER(G91)),IF(ISBLANK(G91),"⚠️ Chưa bóc tách định mức",IF(H91&gt;=0,"✅ OK - Cho phép đặt hàng","❌ CHẶN ĐẶT HÀNG - CẦN BẢO VỆ KL")),"")</f>
        <v/>
      </c>
      <c r="K91" s="138">
        <f>IF(OR(ISNUMBER(F91),ISNUMBER(G91)),IF(ISBLANK(G91),"Kỹ sư/Thầu phụ cần bóc tách KL bản vẽ",IF(H91&gt;=0,"Được đặt hàng tối đa "&amp;G91&amp;" "&amp;E91,"Vượt dự toán "&amp;ABS(H91)&amp;" "&amp;E91&amp;" (QS giải trình &amp; duyệt sửa BOQ)")),"")</f>
        <v/>
      </c>
    </row>
    <row r="92" ht="15.6" customHeight="1" s="75">
      <c r="A92" s="58" t="inlineStr">
        <is>
          <t>DHKK-A.I.2.44</t>
        </is>
      </c>
      <c r="B92" s="139" t="n"/>
      <c r="C92" s="99" t="inlineStr">
        <is>
          <t>NRD 1800x500</t>
        </is>
      </c>
      <c r="D92" s="61" t="inlineStr">
        <is>
          <t>Cái</t>
        </is>
      </c>
      <c r="E92" s="61" t="inlineStr">
        <is>
          <t>Cái</t>
        </is>
      </c>
      <c r="F92" s="88" t="n">
        <v>0</v>
      </c>
      <c r="G92" s="85">
        <f>F92</f>
        <v/>
      </c>
      <c r="H92" s="44">
        <f>IF(OR(ISNUMBER(F92),ISNUMBER(G92)),N(F92)-N(G92),"")</f>
        <v/>
      </c>
      <c r="I92" s="142" t="inlineStr">
        <is>
          <t>EI60</t>
        </is>
      </c>
      <c r="J92" s="117">
        <f>IF(OR(ISNUMBER(F92),ISNUMBER(G92)),IF(ISBLANK(G92),"⚠️ Chưa bóc tách định mức",IF(H92&gt;=0,"✅ OK - Cho phép đặt hàng","❌ CHẶN ĐẶT HÀNG - CẦN BẢO VỆ KL")),"")</f>
        <v/>
      </c>
      <c r="K92" s="138">
        <f>IF(OR(ISNUMBER(F92),ISNUMBER(G92)),IF(ISBLANK(G92),"Kỹ sư/Thầu phụ cần bóc tách KL bản vẽ",IF(H92&gt;=0,"Được đặt hàng tối đa "&amp;G92&amp;" "&amp;E92,"Vượt dự toán "&amp;ABS(H92)&amp;" "&amp;E92&amp;" (QS giải trình &amp; duyệt sửa BOQ)")),"")</f>
        <v/>
      </c>
    </row>
    <row r="93" ht="15.6" customHeight="1" s="75">
      <c r="A93" s="58" t="inlineStr">
        <is>
          <t>DHKK-A.I.2.45</t>
        </is>
      </c>
      <c r="B93" s="24" t="n"/>
      <c r="C93" s="99" t="inlineStr">
        <is>
          <t>NRD 1800x600</t>
        </is>
      </c>
      <c r="D93" s="61" t="inlineStr">
        <is>
          <t>Cái</t>
        </is>
      </c>
      <c r="E93" s="61" t="inlineStr">
        <is>
          <t>Cái</t>
        </is>
      </c>
      <c r="F93" s="88" t="n">
        <v>0</v>
      </c>
      <c r="G93" s="85">
        <f>F93</f>
        <v/>
      </c>
      <c r="H93" s="44">
        <f>IF(OR(ISNUMBER(F93),ISNUMBER(G93)),N(F93)-N(G93),"")</f>
        <v/>
      </c>
      <c r="I93" s="142" t="inlineStr">
        <is>
          <t>EI60</t>
        </is>
      </c>
      <c r="J93" s="117">
        <f>IF(OR(ISNUMBER(F93),ISNUMBER(G93)),IF(ISBLANK(G93),"⚠️ Chưa bóc tách định mức",IF(H93&gt;=0,"✅ OK - Cho phép đặt hàng","❌ CHẶN ĐẶT HÀNG - CẦN BẢO VỆ KL")),"")</f>
        <v/>
      </c>
      <c r="K93" s="138">
        <f>IF(OR(ISNUMBER(F93),ISNUMBER(G93)),IF(ISBLANK(G93),"Kỹ sư/Thầu phụ cần bóc tách KL bản vẽ",IF(H93&gt;=0,"Được đặt hàng tối đa "&amp;G93&amp;" "&amp;E93,"Vượt dự toán "&amp;ABS(H93)&amp;" "&amp;E93&amp;" (QS giải trình &amp; duyệt sửa BOQ)")),"")</f>
        <v/>
      </c>
    </row>
    <row r="94" ht="15.6" customHeight="1" s="75">
      <c r="A94" s="58" t="inlineStr">
        <is>
          <t>DHKK-A.I.2.46</t>
        </is>
      </c>
      <c r="B94" s="139" t="n"/>
      <c r="C94" s="99" t="inlineStr">
        <is>
          <t>NRD 200x300</t>
        </is>
      </c>
      <c r="D94" s="61" t="inlineStr">
        <is>
          <t>Cái</t>
        </is>
      </c>
      <c r="E94" s="61" t="inlineStr">
        <is>
          <t>Cái</t>
        </is>
      </c>
      <c r="F94" s="88" t="n">
        <v>0</v>
      </c>
      <c r="G94" s="85">
        <f>F94</f>
        <v/>
      </c>
      <c r="H94" s="44">
        <f>IF(OR(ISNUMBER(F94),ISNUMBER(G94)),N(F94)-N(G94),"")</f>
        <v/>
      </c>
      <c r="I94" s="137" t="n"/>
      <c r="J94" s="117">
        <f>IF(OR(ISNUMBER(F94),ISNUMBER(G94)),IF(ISBLANK(G94),"⚠️ Chưa bóc tách định mức",IF(H94&gt;=0,"✅ OK - Cho phép đặt hàng","❌ CHẶN ĐẶT HÀNG - CẦN BẢO VỆ KL")),"")</f>
        <v/>
      </c>
      <c r="K94" s="138">
        <f>IF(OR(ISNUMBER(F94),ISNUMBER(G94)),IF(ISBLANK(G94),"Kỹ sư/Thầu phụ cần bóc tách KL bản vẽ",IF(H94&gt;=0,"Được đặt hàng tối đa "&amp;G94&amp;" "&amp;E94,"Vượt dự toán "&amp;ABS(H94)&amp;" "&amp;E94&amp;" (QS giải trình &amp; duyệt sửa BOQ)")),"")</f>
        <v/>
      </c>
    </row>
    <row r="95" ht="15.6" customHeight="1" s="75">
      <c r="A95" s="58" t="inlineStr">
        <is>
          <t>DHKK-A.I.2.47</t>
        </is>
      </c>
      <c r="B95" s="139" t="n"/>
      <c r="C95" s="99" t="inlineStr">
        <is>
          <t>NRD 200x200</t>
        </is>
      </c>
      <c r="D95" s="61" t="inlineStr">
        <is>
          <t>Cái</t>
        </is>
      </c>
      <c r="E95" s="61" t="inlineStr">
        <is>
          <t>Cái</t>
        </is>
      </c>
      <c r="F95" s="88" t="n">
        <v>1</v>
      </c>
      <c r="G95" s="85">
        <f>F95</f>
        <v/>
      </c>
      <c r="H95" s="42">
        <f>IF(OR(ISNUMBER(F95),ISNUMBER(G95)),N(F95)-N(G95),"")</f>
        <v/>
      </c>
      <c r="I95" s="137" t="n"/>
      <c r="J95" s="117">
        <f>IF(OR(ISNUMBER(F95),ISNUMBER(G95)),IF(ISBLANK(G95),"⚠️ Chưa bóc tách định mức",IF(H95&gt;=0,"✅ OK - Cho phép đặt hàng","❌ CHẶN ĐẶT HÀNG - CẦN BẢO VỆ KL")),"")</f>
        <v/>
      </c>
      <c r="K95" s="138">
        <f>IF(OR(ISNUMBER(F95),ISNUMBER(G95)),IF(ISBLANK(G95),"Kỹ sư/Thầu phụ cần bóc tách KL bản vẽ",IF(H95&gt;=0,"Được đặt hàng tối đa "&amp;G95&amp;" "&amp;E95,"Vượt dự toán "&amp;ABS(H95)&amp;" "&amp;E95&amp;" (QS giải trình &amp; duyệt sửa BOQ)")),"")</f>
        <v/>
      </c>
    </row>
    <row r="96" ht="15.6" customHeight="1" s="75">
      <c r="A96" s="58" t="inlineStr">
        <is>
          <t>DHKK-A.I.2.48</t>
        </is>
      </c>
      <c r="B96" s="139" t="n"/>
      <c r="C96" s="99" t="inlineStr">
        <is>
          <t>NRD 200x150</t>
        </is>
      </c>
      <c r="D96" s="61" t="inlineStr">
        <is>
          <t>Cái</t>
        </is>
      </c>
      <c r="E96" s="61" t="inlineStr">
        <is>
          <t>Cái</t>
        </is>
      </c>
      <c r="F96" s="88" t="n">
        <v>1</v>
      </c>
      <c r="G96" s="85">
        <f>F96</f>
        <v/>
      </c>
      <c r="H96" s="42">
        <f>IF(OR(ISNUMBER(F96),ISNUMBER(G96)),N(F96)-N(G96),"")</f>
        <v/>
      </c>
      <c r="I96" s="137" t="n"/>
      <c r="J96" s="117">
        <f>IF(OR(ISNUMBER(F96),ISNUMBER(G96)),IF(ISBLANK(G96),"⚠️ Chưa bóc tách định mức",IF(H96&gt;=0,"✅ OK - Cho phép đặt hàng","❌ CHẶN ĐẶT HÀNG - CẦN BẢO VỆ KL")),"")</f>
        <v/>
      </c>
      <c r="K96" s="138">
        <f>IF(OR(ISNUMBER(F96),ISNUMBER(G96)),IF(ISBLANK(G96),"Kỹ sư/Thầu phụ cần bóc tách KL bản vẽ",IF(H96&gt;=0,"Được đặt hàng tối đa "&amp;G96&amp;" "&amp;E96,"Vượt dự toán "&amp;ABS(H96)&amp;" "&amp;E96&amp;" (QS giải trình &amp; duyệt sửa BOQ)")),"")</f>
        <v/>
      </c>
    </row>
    <row r="97" ht="13.8" customHeight="1" s="75">
      <c r="A97" s="80" t="n"/>
      <c r="B97" s="139" t="n"/>
      <c r="C97" s="101" t="n"/>
      <c r="D97" s="24" t="n"/>
      <c r="E97" s="24" t="n"/>
      <c r="F97" s="85" t="n"/>
      <c r="G97" s="85" t="n"/>
      <c r="H97" s="44" t="n"/>
      <c r="I97" s="137" t="n"/>
    </row>
    <row r="98" ht="14.1" customHeight="1" s="75">
      <c r="A98" s="80" t="n"/>
      <c r="B98" s="37" t="n">
        <v>3</v>
      </c>
      <c r="C98" s="98" t="inlineStr">
        <is>
          <t>Ống gió</t>
        </is>
      </c>
      <c r="D98" s="24" t="n"/>
      <c r="E98" s="24" t="n"/>
      <c r="F98" s="85" t="n"/>
      <c r="G98" s="85" t="n"/>
      <c r="H98" s="44" t="n"/>
      <c r="I98" s="137" t="n"/>
    </row>
    <row r="99" ht="15.6" customHeight="1" s="75">
      <c r="A99" s="58" t="inlineStr">
        <is>
          <t>DHKK-A.I.3.1</t>
        </is>
      </c>
      <c r="B99" s="24" t="n"/>
      <c r="C99" s="99" t="inlineStr">
        <is>
          <t>Ống gió tole mạ kẽm dày 0.58mm</t>
        </is>
      </c>
      <c r="D99" s="61" t="inlineStr">
        <is>
          <t>m2</t>
        </is>
      </c>
      <c r="E99" s="61" t="inlineStr">
        <is>
          <t>m2</t>
        </is>
      </c>
      <c r="F99" s="88" t="n">
        <v>79</v>
      </c>
      <c r="G99" s="85" t="n"/>
      <c r="H99" s="42">
        <f>IF(OR(ISNUMBER(F99),ISNUMBER(G99)),N(F99)-N(G99),"")</f>
        <v/>
      </c>
      <c r="I99" s="137" t="n"/>
      <c r="J99" s="117">
        <f>IF(OR(ISNUMBER(F99),ISNUMBER(G99)),IF(ISBLANK(G99),"⚠️ Chưa bóc tách định mức",IF(H99&gt;=0,"✅ OK - Cho phép đặt hàng","❌ CHẶN ĐẶT HÀNG - CẦN BẢO VỆ KL")),"")</f>
        <v/>
      </c>
      <c r="K99" s="138">
        <f>IF(OR(ISNUMBER(F99),ISNUMBER(G99)),IF(ISBLANK(G99),"Kỹ sư/Thầu phụ cần bóc tách KL bản vẽ",IF(H99&gt;=0,"Được đặt hàng tối đa "&amp;G99&amp;" "&amp;E99,"Vượt dự toán "&amp;ABS(H99)&amp;" "&amp;E99&amp;" (QS giải trình &amp; duyệt sửa BOQ)")),"")</f>
        <v/>
      </c>
    </row>
    <row r="100" ht="15.6" customHeight="1" s="75">
      <c r="A100" s="58" t="inlineStr">
        <is>
          <t>DHKK-A.I.3.2</t>
        </is>
      </c>
      <c r="B100" s="139" t="n"/>
      <c r="C100" s="99" t="inlineStr">
        <is>
          <t>Ống gió tole mạ kẽm dày 0.75mm</t>
        </is>
      </c>
      <c r="D100" s="61" t="inlineStr">
        <is>
          <t>m2</t>
        </is>
      </c>
      <c r="E100" s="61" t="inlineStr">
        <is>
          <t>m2</t>
        </is>
      </c>
      <c r="F100" s="88" t="n">
        <v>61</v>
      </c>
      <c r="G100" s="85" t="n"/>
      <c r="H100" s="42">
        <f>IF(OR(ISNUMBER(F100),ISNUMBER(G100)),N(F100)-N(G100),"")</f>
        <v/>
      </c>
      <c r="I100" s="137" t="n"/>
      <c r="J100" s="117">
        <f>IF(OR(ISNUMBER(F100),ISNUMBER(G100)),IF(ISBLANK(G100),"⚠️ Chưa bóc tách định mức",IF(H100&gt;=0,"✅ OK - Cho phép đặt hàng","❌ CHẶN ĐẶT HÀNG - CẦN BẢO VỆ KL")),"")</f>
        <v/>
      </c>
      <c r="K100" s="138">
        <f>IF(OR(ISNUMBER(F100),ISNUMBER(G100)),IF(ISBLANK(G100),"Kỹ sư/Thầu phụ cần bóc tách KL bản vẽ",IF(H100&gt;=0,"Được đặt hàng tối đa "&amp;G100&amp;" "&amp;E100,"Vượt dự toán "&amp;ABS(H100)&amp;" "&amp;E100&amp;" (QS giải trình &amp; duyệt sửa BOQ)")),"")</f>
        <v/>
      </c>
    </row>
    <row r="101" ht="15.6" customHeight="1" s="75">
      <c r="A101" s="58" t="inlineStr">
        <is>
          <t>DHKK-A.I.3.3</t>
        </is>
      </c>
      <c r="B101" s="139" t="n"/>
      <c r="C101" s="99" t="inlineStr">
        <is>
          <t>Ống gió tole mạ kẽm dày 0.95mm</t>
        </is>
      </c>
      <c r="D101" s="61" t="inlineStr">
        <is>
          <t>m2</t>
        </is>
      </c>
      <c r="E101" s="61" t="inlineStr">
        <is>
          <t>m2</t>
        </is>
      </c>
      <c r="F101" s="88" t="n">
        <v>66</v>
      </c>
      <c r="G101" s="85" t="n"/>
      <c r="H101" s="42">
        <f>IF(OR(ISNUMBER(F101),ISNUMBER(G101)),N(F101)-N(G101),"")</f>
        <v/>
      </c>
      <c r="I101" s="137" t="n"/>
      <c r="J101" s="117">
        <f>IF(OR(ISNUMBER(F101),ISNUMBER(G101)),IF(ISBLANK(G101),"⚠️ Chưa bóc tách định mức",IF(H101&gt;=0,"✅ OK - Cho phép đặt hàng","❌ CHẶN ĐẶT HÀNG - CẦN BẢO VỆ KL")),"")</f>
        <v/>
      </c>
      <c r="K101" s="138">
        <f>IF(OR(ISNUMBER(F101),ISNUMBER(G101)),IF(ISBLANK(G101),"Kỹ sư/Thầu phụ cần bóc tách KL bản vẽ",IF(H101&gt;=0,"Được đặt hàng tối đa "&amp;G101&amp;" "&amp;E101,"Vượt dự toán "&amp;ABS(H101)&amp;" "&amp;E101&amp;" (QS giải trình &amp; duyệt sửa BOQ)")),"")</f>
        <v/>
      </c>
    </row>
    <row r="102" ht="15.6" customHeight="1" s="75">
      <c r="A102" s="58" t="inlineStr">
        <is>
          <t>DHKK-A.I.3.4</t>
        </is>
      </c>
      <c r="B102" s="139" t="n"/>
      <c r="C102" s="99" t="inlineStr">
        <is>
          <t>Ống gió tole mạ kẽm dày 1.15mm</t>
        </is>
      </c>
      <c r="D102" s="61" t="inlineStr">
        <is>
          <t>m2</t>
        </is>
      </c>
      <c r="E102" s="61" t="inlineStr">
        <is>
          <t>m2</t>
        </is>
      </c>
      <c r="F102" s="88" t="n">
        <v>28</v>
      </c>
      <c r="G102" s="85" t="n"/>
      <c r="H102" s="42">
        <f>IF(OR(ISNUMBER(F102),ISNUMBER(G102)),N(F102)-N(G102),"")</f>
        <v/>
      </c>
      <c r="I102" s="137" t="n"/>
      <c r="J102" s="117">
        <f>IF(OR(ISNUMBER(F102),ISNUMBER(G102)),IF(ISBLANK(G102),"⚠️ Chưa bóc tách định mức",IF(H102&gt;=0,"✅ OK - Cho phép đặt hàng","❌ CHẶN ĐẶT HÀNG - CẦN BẢO VỆ KL")),"")</f>
        <v/>
      </c>
      <c r="K102" s="138">
        <f>IF(OR(ISNUMBER(F102),ISNUMBER(G102)),IF(ISBLANK(G102),"Kỹ sư/Thầu phụ cần bóc tách KL bản vẽ",IF(H102&gt;=0,"Được đặt hàng tối đa "&amp;G102&amp;" "&amp;E102,"Vượt dự toán "&amp;ABS(H102)&amp;" "&amp;E102&amp;" (QS giải trình &amp; duyệt sửa BOQ)")),"")</f>
        <v/>
      </c>
    </row>
    <row r="103" ht="15.6" customHeight="1" s="75">
      <c r="A103" s="58" t="inlineStr">
        <is>
          <t>DHKK-A.I.3.5</t>
        </is>
      </c>
      <c r="B103" s="24" t="n"/>
      <c r="C103" s="99" t="inlineStr">
        <is>
          <t>Ống gió tole mạ kẽm dày 0.75mm, chống cháy EI60</t>
        </is>
      </c>
      <c r="D103" s="61" t="inlineStr">
        <is>
          <t>m2</t>
        </is>
      </c>
      <c r="E103" s="61" t="inlineStr">
        <is>
          <t>m2</t>
        </is>
      </c>
      <c r="F103" s="88" t="n">
        <v>4761</v>
      </c>
      <c r="G103" s="85" t="n"/>
      <c r="H103" s="42">
        <f>IF(OR(ISNUMBER(F103),ISNUMBER(G103)),N(F103)-N(G103),"")</f>
        <v/>
      </c>
      <c r="I103" s="137" t="n"/>
      <c r="J103" s="117">
        <f>IF(OR(ISNUMBER(F103),ISNUMBER(G103)),IF(ISBLANK(G103),"⚠️ Chưa bóc tách định mức",IF(H103&gt;=0,"✅ OK - Cho phép đặt hàng","❌ CHẶN ĐẶT HÀNG - CẦN BẢO VỆ KL")),"")</f>
        <v/>
      </c>
      <c r="K103" s="138">
        <f>IF(OR(ISNUMBER(F103),ISNUMBER(G103)),IF(ISBLANK(G103),"Kỹ sư/Thầu phụ cần bóc tách KL bản vẽ",IF(H103&gt;=0,"Được đặt hàng tối đa "&amp;G103&amp;" "&amp;E103,"Vượt dự toán "&amp;ABS(H103)&amp;" "&amp;E103&amp;" (QS giải trình &amp; duyệt sửa BOQ)")),"")</f>
        <v/>
      </c>
    </row>
    <row r="104" ht="28.5" customHeight="1" s="75">
      <c r="A104" s="58" t="inlineStr">
        <is>
          <t>DHKK-A.I.3.6</t>
        </is>
      </c>
      <c r="B104" s="24" t="n"/>
      <c r="C104" s="99" t="inlineStr">
        <is>
          <t>Ống gió tole tráng kẽm dày 0.75mm, chống cháy EI60 kèm tiêu âm dày 50mm</t>
        </is>
      </c>
      <c r="D104" s="61" t="inlineStr">
        <is>
          <t>m2</t>
        </is>
      </c>
      <c r="E104" s="61" t="inlineStr">
        <is>
          <t>m2</t>
        </is>
      </c>
      <c r="F104" s="88" t="n">
        <v>982</v>
      </c>
      <c r="G104" s="85" t="n"/>
      <c r="H104" s="42">
        <f>IF(OR(ISNUMBER(F104),ISNUMBER(G104)),N(F104)-N(G104),"")</f>
        <v/>
      </c>
      <c r="I104" s="143" t="inlineStr">
        <is>
          <t>Tiêu âm ống gió bằng rockwool dày 50mm, tỷ trọng 80kg/m3</t>
        </is>
      </c>
      <c r="J104" s="117">
        <f>IF(OR(ISNUMBER(F104),ISNUMBER(G104)),IF(ISBLANK(G104),"⚠️ Chưa bóc tách định mức",IF(H104&gt;=0,"✅ OK - Cho phép đặt hàng","❌ CHẶN ĐẶT HÀNG - CẦN BẢO VỆ KL")),"")</f>
        <v/>
      </c>
      <c r="K104" s="138">
        <f>IF(OR(ISNUMBER(F104),ISNUMBER(G104)),IF(ISBLANK(G104),"Kỹ sư/Thầu phụ cần bóc tách KL bản vẽ",IF(H104&gt;=0,"Được đặt hàng tối đa "&amp;G104&amp;" "&amp;E104,"Vượt dự toán "&amp;ABS(H104)&amp;" "&amp;E104&amp;" (QS giải trình &amp; duyệt sửa BOQ)")),"")</f>
        <v/>
      </c>
    </row>
    <row r="105" ht="15.6" customHeight="1" s="75">
      <c r="A105" s="58" t="inlineStr">
        <is>
          <t>DHKK-A.I.3.7</t>
        </is>
      </c>
      <c r="B105" s="139" t="n"/>
      <c r="C105" s="99" t="inlineStr">
        <is>
          <t>Ống gió mềm không cách nhiệt D150</t>
        </is>
      </c>
      <c r="D105" s="61" t="inlineStr">
        <is>
          <t>m</t>
        </is>
      </c>
      <c r="E105" s="61" t="inlineStr">
        <is>
          <t>m</t>
        </is>
      </c>
      <c r="F105" s="88" t="n">
        <v>15</v>
      </c>
      <c r="G105" s="85" t="n"/>
      <c r="H105" s="42">
        <f>IF(OR(ISNUMBER(F105),ISNUMBER(G105)),N(F105)-N(G105),"")</f>
        <v/>
      </c>
      <c r="I105" s="137" t="n"/>
      <c r="J105" s="117">
        <f>IF(OR(ISNUMBER(F105),ISNUMBER(G105)),IF(ISBLANK(G105),"⚠️ Chưa bóc tách định mức",IF(H105&gt;=0,"✅ OK - Cho phép đặt hàng","❌ CHẶN ĐẶT HÀNG - CẦN BẢO VỆ KL")),"")</f>
        <v/>
      </c>
      <c r="K105" s="138">
        <f>IF(OR(ISNUMBER(F105),ISNUMBER(G105)),IF(ISBLANK(G105),"Kỹ sư/Thầu phụ cần bóc tách KL bản vẽ",IF(H105&gt;=0,"Được đặt hàng tối đa "&amp;G105&amp;" "&amp;E105,"Vượt dự toán "&amp;ABS(H105)&amp;" "&amp;E105&amp;" (QS giải trình &amp; duyệt sửa BOQ)")),"")</f>
        <v/>
      </c>
    </row>
    <row r="106" ht="13.8" customHeight="1" s="75">
      <c r="A106" s="80" t="n"/>
      <c r="B106" s="139" t="n"/>
      <c r="C106" s="101" t="n"/>
      <c r="D106" s="24" t="n"/>
      <c r="E106" s="24" t="n"/>
      <c r="F106" s="85" t="n"/>
      <c r="G106" s="85" t="n"/>
      <c r="H106" s="44" t="n"/>
      <c r="I106" s="137" t="n"/>
    </row>
    <row r="107" ht="14.1" customHeight="1" s="75">
      <c r="A107" s="80" t="n"/>
      <c r="B107" s="37" t="n">
        <v>4</v>
      </c>
      <c r="C107" s="98" t="inlineStr">
        <is>
          <t>Phần điều khiển</t>
        </is>
      </c>
      <c r="D107" s="24" t="n"/>
      <c r="E107" s="24" t="n"/>
      <c r="F107" s="85" t="n"/>
      <c r="G107" s="85" t="n"/>
      <c r="H107" s="44" t="n"/>
      <c r="I107" s="137" t="n"/>
    </row>
    <row r="108" ht="15.6" customHeight="1" s="75">
      <c r="A108" s="58" t="inlineStr">
        <is>
          <t>DHKK-A.I.4.1</t>
        </is>
      </c>
      <c r="B108" s="139" t="n"/>
      <c r="C108" s="99" t="inlineStr">
        <is>
          <t>3x1Cx2.5 mm2 CV-FR</t>
        </is>
      </c>
      <c r="D108" s="61" t="inlineStr">
        <is>
          <t>m</t>
        </is>
      </c>
      <c r="E108" s="61" t="inlineStr">
        <is>
          <t>m</t>
        </is>
      </c>
      <c r="F108" s="88" t="n">
        <v>1754</v>
      </c>
      <c r="G108" s="85" t="n"/>
      <c r="H108" s="42">
        <f>IF(OR(ISNUMBER(F108),ISNUMBER(G108)),N(F108)-N(G108),"")</f>
        <v/>
      </c>
      <c r="I108" s="137" t="n"/>
      <c r="J108" s="117">
        <f>IF(OR(ISNUMBER(F108),ISNUMBER(G108)),IF(ISBLANK(G108),"⚠️ Chưa bóc tách định mức",IF(H108&gt;=0,"✅ OK - Cho phép đặt hàng","❌ CHẶN ĐẶT HÀNG - CẦN BẢO VỆ KL")),"")</f>
        <v/>
      </c>
      <c r="K108" s="138">
        <f>IF(OR(ISNUMBER(F108),ISNUMBER(G108)),IF(ISBLANK(G108),"Kỹ sư/Thầu phụ cần bóc tách KL bản vẽ",IF(H108&gt;=0,"Được đặt hàng tối đa "&amp;G108&amp;" "&amp;E108,"Vượt dự toán "&amp;ABS(H108)&amp;" "&amp;E108&amp;" (QS giải trình &amp; duyệt sửa BOQ)")),"")</f>
        <v/>
      </c>
    </row>
    <row r="109" ht="15.6" customHeight="1" s="75">
      <c r="A109" s="58" t="inlineStr">
        <is>
          <t>DHKK-A.I.4.2</t>
        </is>
      </c>
      <c r="B109" s="139" t="n"/>
      <c r="C109" s="99" t="inlineStr">
        <is>
          <t>4C-1.5mm² Cu/PVC/FR</t>
        </is>
      </c>
      <c r="D109" s="61" t="inlineStr">
        <is>
          <t>m</t>
        </is>
      </c>
      <c r="E109" s="61" t="inlineStr">
        <is>
          <t>m</t>
        </is>
      </c>
      <c r="F109" s="88" t="n">
        <v>5395</v>
      </c>
      <c r="G109" s="85" t="n"/>
      <c r="H109" s="42">
        <f>IF(OR(ISNUMBER(F109),ISNUMBER(G109)),N(F109)-N(G109),"")</f>
        <v/>
      </c>
      <c r="I109" s="137" t="n"/>
      <c r="J109" s="117">
        <f>IF(OR(ISNUMBER(F109),ISNUMBER(G109)),IF(ISBLANK(G109),"⚠️ Chưa bóc tách định mức",IF(H109&gt;=0,"✅ OK - Cho phép đặt hàng","❌ CHẶN ĐẶT HÀNG - CẦN BẢO VỆ KL")),"")</f>
        <v/>
      </c>
      <c r="K109" s="138">
        <f>IF(OR(ISNUMBER(F109),ISNUMBER(G109)),IF(ISBLANK(G109),"Kỹ sư/Thầu phụ cần bóc tách KL bản vẽ",IF(H109&gt;=0,"Được đặt hàng tối đa "&amp;G109&amp;" "&amp;E109,"Vượt dự toán "&amp;ABS(H109)&amp;" "&amp;E109&amp;" (QS giải trình &amp; duyệt sửa BOQ)")),"")</f>
        <v/>
      </c>
    </row>
    <row r="110" ht="15.6" customHeight="1" s="75">
      <c r="A110" s="58" t="inlineStr">
        <is>
          <t>DHKK-A.I.4.3</t>
        </is>
      </c>
      <c r="B110" s="139" t="n"/>
      <c r="C110" s="99" t="inlineStr">
        <is>
          <t>2C-1.5mm² Cu/PVC/FR</t>
        </is>
      </c>
      <c r="D110" s="61" t="inlineStr">
        <is>
          <t>m</t>
        </is>
      </c>
      <c r="E110" s="61" t="inlineStr">
        <is>
          <t>m</t>
        </is>
      </c>
      <c r="F110" s="88" t="n">
        <v>0</v>
      </c>
      <c r="G110" s="85" t="n"/>
      <c r="H110" s="44">
        <f>IF(OR(ISNUMBER(F110),ISNUMBER(G110)),N(F110)-N(G110),"")</f>
        <v/>
      </c>
      <c r="I110" s="137" t="n"/>
      <c r="J110" s="117">
        <f>IF(OR(ISNUMBER(F110),ISNUMBER(G110)),IF(ISBLANK(G110),"⚠️ Chưa bóc tách định mức",IF(H110&gt;=0,"✅ OK - Cho phép đặt hàng","❌ CHẶN ĐẶT HÀNG - CẦN BẢO VỆ KL")),"")</f>
        <v/>
      </c>
      <c r="K110" s="138">
        <f>IF(OR(ISNUMBER(F110),ISNUMBER(G110)),IF(ISBLANK(G110),"Kỹ sư/Thầu phụ cần bóc tách KL bản vẽ",IF(H110&gt;=0,"Được đặt hàng tối đa "&amp;G110&amp;" "&amp;E110,"Vượt dự toán "&amp;ABS(H110)&amp;" "&amp;E110&amp;" (QS giải trình &amp; duyệt sửa BOQ)")),"")</f>
        <v/>
      </c>
    </row>
    <row r="111" ht="15.6" customHeight="1" s="75">
      <c r="A111" s="58" t="inlineStr">
        <is>
          <t>DHKK-A.I.4.4</t>
        </is>
      </c>
      <c r="B111" s="24" t="n"/>
      <c r="C111" s="99" t="inlineStr">
        <is>
          <t>3Cx1.5mm2 Cu/PVC</t>
        </is>
      </c>
      <c r="D111" s="61" t="inlineStr">
        <is>
          <t>m</t>
        </is>
      </c>
      <c r="E111" s="61" t="inlineStr">
        <is>
          <t>m</t>
        </is>
      </c>
      <c r="F111" s="88" t="n">
        <v>270</v>
      </c>
      <c r="G111" s="85" t="n"/>
      <c r="H111" s="42">
        <f>IF(OR(ISNUMBER(F111),ISNUMBER(G111)),N(F111)-N(G111),"")</f>
        <v/>
      </c>
      <c r="I111" s="137" t="n"/>
      <c r="J111" s="117">
        <f>IF(OR(ISNUMBER(F111),ISNUMBER(G111)),IF(ISBLANK(G111),"⚠️ Chưa bóc tách định mức",IF(H111&gt;=0,"✅ OK - Cho phép đặt hàng","❌ CHẶN ĐẶT HÀNG - CẦN BẢO VỆ KL")),"")</f>
        <v/>
      </c>
      <c r="K111" s="138">
        <f>IF(OR(ISNUMBER(F111),ISNUMBER(G111)),IF(ISBLANK(G111),"Kỹ sư/Thầu phụ cần bóc tách KL bản vẽ",IF(H111&gt;=0,"Được đặt hàng tối đa "&amp;G111&amp;" "&amp;E111,"Vượt dự toán "&amp;ABS(H111)&amp;" "&amp;E111&amp;" (QS giải trình &amp; duyệt sửa BOQ)")),"")</f>
        <v/>
      </c>
    </row>
    <row r="112" ht="15.6" customHeight="1" s="75">
      <c r="A112" s="58" t="inlineStr">
        <is>
          <t>DHKK-A.I.4.8</t>
        </is>
      </c>
      <c r="B112" s="139" t="n"/>
      <c r="C112" s="99" t="inlineStr">
        <is>
          <t>Khay cáp 600Wx100H</t>
        </is>
      </c>
      <c r="D112" s="61" t="inlineStr">
        <is>
          <t>m</t>
        </is>
      </c>
      <c r="E112" s="61" t="inlineStr">
        <is>
          <t>m</t>
        </is>
      </c>
      <c r="F112" s="88" t="n">
        <v>24</v>
      </c>
      <c r="G112" s="85" t="n"/>
      <c r="H112" s="42">
        <f>IF(OR(ISNUMBER(F112),ISNUMBER(G112)),N(F112)-N(G112),"")</f>
        <v/>
      </c>
      <c r="I112" s="142" t="inlineStr">
        <is>
          <t>Khay cáp đột lỗ: W600xH100xT1.5 Thép đen sơn tĩnh điện, Kèm nắp</t>
        </is>
      </c>
      <c r="J112" s="117">
        <f>IF(OR(ISNUMBER(F112),ISNUMBER(G112)),IF(ISBLANK(G112),"⚠️ Chưa bóc tách định mức",IF(H112&gt;=0,"✅ OK - Cho phép đặt hàng","❌ CHẶN ĐẶT HÀNG - CẦN BẢO VỆ KL")),"")</f>
        <v/>
      </c>
      <c r="K112" s="138">
        <f>IF(OR(ISNUMBER(F112),ISNUMBER(G112)),IF(ISBLANK(G112),"Kỹ sư/Thầu phụ cần bóc tách KL bản vẽ",IF(H112&gt;=0,"Được đặt hàng tối đa "&amp;G112&amp;" "&amp;E112,"Vượt dự toán "&amp;ABS(H112)&amp;" "&amp;E112&amp;" (QS giải trình &amp; duyệt sửa BOQ)")),"")</f>
        <v/>
      </c>
    </row>
    <row r="113" ht="15.6" customHeight="1" s="75">
      <c r="A113" s="58" t="inlineStr">
        <is>
          <t>DHKK-A.I.4.9</t>
        </is>
      </c>
      <c r="B113" s="139" t="n"/>
      <c r="C113" s="99" t="inlineStr">
        <is>
          <t>Cảm biến nhiệt độ</t>
        </is>
      </c>
      <c r="D113" s="61" t="inlineStr">
        <is>
          <t>Bộ</t>
        </is>
      </c>
      <c r="E113" s="61" t="inlineStr">
        <is>
          <t>Bộ</t>
        </is>
      </c>
      <c r="F113" s="88" t="n">
        <v>18</v>
      </c>
      <c r="G113" s="85" t="n"/>
      <c r="H113" s="42">
        <f>IF(OR(ISNUMBER(F113),ISNUMBER(G113)),N(F113)-N(G113),"")</f>
        <v/>
      </c>
      <c r="I113" s="137" t="n"/>
      <c r="J113" s="117">
        <f>IF(OR(ISNUMBER(F113),ISNUMBER(G113)),IF(ISBLANK(G113),"⚠️ Chưa bóc tách định mức",IF(H113&gt;=0,"✅ OK - Cho phép đặt hàng","❌ CHẶN ĐẶT HÀNG - CẦN BẢO VỆ KL")),"")</f>
        <v/>
      </c>
      <c r="K113" s="138">
        <f>IF(OR(ISNUMBER(F113),ISNUMBER(G113)),IF(ISBLANK(G113),"Kỹ sư/Thầu phụ cần bóc tách KL bản vẽ",IF(H113&gt;=0,"Được đặt hàng tối đa "&amp;G113&amp;" "&amp;E113,"Vượt dự toán "&amp;ABS(H113)&amp;" "&amp;E113&amp;" (QS giải trình &amp; duyệt sửa BOQ)")),"")</f>
        <v/>
      </c>
    </row>
    <row r="114" ht="15.6" customHeight="1" s="75">
      <c r="A114" s="58" t="inlineStr">
        <is>
          <t>DHKK-A.I.4.10</t>
        </is>
      </c>
      <c r="B114" s="139" t="n"/>
      <c r="C114" s="99" t="inlineStr">
        <is>
          <t>Đầu đo nồng độ CO</t>
        </is>
      </c>
      <c r="D114" s="61" t="inlineStr">
        <is>
          <t>Bộ</t>
        </is>
      </c>
      <c r="E114" s="61" t="inlineStr">
        <is>
          <t>Bộ</t>
        </is>
      </c>
      <c r="F114" s="88" t="n">
        <v>30</v>
      </c>
      <c r="G114" s="85" t="n"/>
      <c r="H114" s="42">
        <f>IF(OR(ISNUMBER(F114),ISNUMBER(G114)),N(F114)-N(G114),"")</f>
        <v/>
      </c>
      <c r="I114" s="137" t="n"/>
      <c r="J114" s="117">
        <f>IF(OR(ISNUMBER(F114),ISNUMBER(G114)),IF(ISBLANK(G114),"⚠️ Chưa bóc tách định mức",IF(H114&gt;=0,"✅ OK - Cho phép đặt hàng","❌ CHẶN ĐẶT HÀNG - CẦN BẢO VỆ KL")),"")</f>
        <v/>
      </c>
      <c r="K114" s="138">
        <f>IF(OR(ISNUMBER(F114),ISNUMBER(G114)),IF(ISBLANK(G114),"Kỹ sư/Thầu phụ cần bóc tách KL bản vẽ",IF(H114&gt;=0,"Được đặt hàng tối đa "&amp;G114&amp;" "&amp;E114,"Vượt dự toán "&amp;ABS(H114)&amp;" "&amp;E114&amp;" (QS giải trình &amp; duyệt sửa BOQ)")),"")</f>
        <v/>
      </c>
    </row>
    <row r="115" ht="15.6" customHeight="1" s="75">
      <c r="A115" s="58" t="inlineStr">
        <is>
          <t>DHKK-A.I.4.11</t>
        </is>
      </c>
      <c r="B115" s="139" t="n"/>
      <c r="C115" s="99" t="inlineStr">
        <is>
          <t>Tủ trung gian cho MFD</t>
        </is>
      </c>
      <c r="D115" s="61" t="inlineStr">
        <is>
          <t>Bộ</t>
        </is>
      </c>
      <c r="E115" s="61" t="inlineStr">
        <is>
          <t>Bộ</t>
        </is>
      </c>
      <c r="F115" s="88" t="n">
        <v>10</v>
      </c>
      <c r="G115" s="85" t="n"/>
      <c r="H115" s="42">
        <f>IF(OR(ISNUMBER(F115),ISNUMBER(G115)),N(F115)-N(G115),"")</f>
        <v/>
      </c>
      <c r="I115" s="137" t="n"/>
      <c r="J115" s="117">
        <f>IF(OR(ISNUMBER(F115),ISNUMBER(G115)),IF(ISBLANK(G115),"⚠️ Chưa bóc tách định mức",IF(H115&gt;=0,"✅ OK - Cho phép đặt hàng","❌ CHẶN ĐẶT HÀNG - CẦN BẢO VỆ KL")),"")</f>
        <v/>
      </c>
      <c r="K115" s="138">
        <f>IF(OR(ISNUMBER(F115),ISNUMBER(G115)),IF(ISBLANK(G115),"Kỹ sư/Thầu phụ cần bóc tách KL bản vẽ",IF(H115&gt;=0,"Được đặt hàng tối đa "&amp;G115&amp;" "&amp;E115,"Vượt dự toán "&amp;ABS(H115)&amp;" "&amp;E115&amp;" (QS giải trình &amp; duyệt sửa BOQ)")),"")</f>
        <v/>
      </c>
    </row>
    <row r="116" ht="15.6" customHeight="1" s="75">
      <c r="A116" s="58" t="inlineStr">
        <is>
          <t>DHKK-A.I.4.12</t>
        </is>
      </c>
      <c r="B116" s="139" t="n"/>
      <c r="C116" s="99" t="inlineStr">
        <is>
          <t>Tủ điều khiển DDC</t>
        </is>
      </c>
      <c r="D116" s="61" t="inlineStr">
        <is>
          <t>Bộ</t>
        </is>
      </c>
      <c r="E116" s="61" t="inlineStr">
        <is>
          <t>Bộ</t>
        </is>
      </c>
      <c r="F116" s="88" t="n">
        <v>8</v>
      </c>
      <c r="G116" s="85" t="n"/>
      <c r="H116" s="42">
        <f>IF(OR(ISNUMBER(F116),ISNUMBER(G116)),N(F116)-N(G116),"")</f>
        <v/>
      </c>
      <c r="I116" s="137" t="n"/>
      <c r="J116" s="117">
        <f>IF(OR(ISNUMBER(F116),ISNUMBER(G116)),IF(ISBLANK(G116),"⚠️ Chưa bóc tách định mức",IF(H116&gt;=0,"✅ OK - Cho phép đặt hàng","❌ CHẶN ĐẶT HÀNG - CẦN BẢO VỆ KL")),"")</f>
        <v/>
      </c>
      <c r="K116" s="138">
        <f>IF(OR(ISNUMBER(F116),ISNUMBER(G116)),IF(ISBLANK(G116),"Kỹ sư/Thầu phụ cần bóc tách KL bản vẽ",IF(H116&gt;=0,"Được đặt hàng tối đa "&amp;G116&amp;" "&amp;E116,"Vượt dự toán "&amp;ABS(H116)&amp;" "&amp;E116&amp;" (QS giải trình &amp; duyệt sửa BOQ)")),"")</f>
        <v/>
      </c>
    </row>
    <row r="117" ht="13.8" customHeight="1" s="75">
      <c r="A117" s="80" t="n"/>
      <c r="B117" s="139" t="n"/>
      <c r="C117" s="101" t="n"/>
      <c r="D117" s="24" t="n"/>
      <c r="E117" s="24" t="n"/>
      <c r="F117" s="85" t="n"/>
      <c r="G117" s="85" t="n"/>
      <c r="H117" s="44" t="n"/>
      <c r="I117" s="137" t="n"/>
    </row>
    <row r="118" ht="14.1" customHeight="1" s="75">
      <c r="A118" s="80" t="n"/>
      <c r="B118" s="33" t="inlineStr">
        <is>
          <t>II</t>
        </is>
      </c>
      <c r="C118" s="97" t="inlineStr">
        <is>
          <t>HỆ THỐNG TẠO ÁP</t>
        </is>
      </c>
      <c r="D118" s="34" t="n"/>
      <c r="E118" s="34" t="n"/>
      <c r="F118" s="87" t="n"/>
      <c r="G118" s="87" t="n"/>
      <c r="H118" s="35" t="n"/>
      <c r="I118" s="144" t="n"/>
    </row>
    <row r="119" ht="14.1" customHeight="1" s="75">
      <c r="A119" s="80" t="n"/>
      <c r="B119" s="37" t="n">
        <v>1</v>
      </c>
      <c r="C119" s="98" t="inlineStr">
        <is>
          <t>Quạt thông gió</t>
        </is>
      </c>
      <c r="D119" s="24" t="n"/>
      <c r="E119" s="24" t="n"/>
      <c r="F119" s="85" t="n"/>
      <c r="G119" s="85" t="n"/>
      <c r="H119" s="44" t="n"/>
      <c r="I119" s="137" t="n"/>
    </row>
    <row r="120" ht="42.3" customHeight="1" s="75">
      <c r="A120" s="58" t="inlineStr">
        <is>
          <t>DHKK-A.II.1.1</t>
        </is>
      </c>
      <c r="B120" s="139" t="n"/>
      <c r="C120" s="99" t="inlineStr">
        <is>
          <t>Quạt cấp khí kiểu hướng trục nối ống gió PAF-B1-01
 + Lưu lượng: 12500 l/s
 + Áp suất : 700 Pa</t>
        </is>
      </c>
      <c r="D120" s="61" t="inlineStr">
        <is>
          <t>Bộ</t>
        </is>
      </c>
      <c r="E120" s="61" t="inlineStr">
        <is>
          <t>Bộ</t>
        </is>
      </c>
      <c r="F120" s="88" t="n">
        <v>1</v>
      </c>
      <c r="G120" s="85" t="n"/>
      <c r="H120" s="42">
        <f>IF(OR(ISNUMBER(F120),ISNUMBER(G120)),N(F120)-N(G120),"")</f>
        <v/>
      </c>
      <c r="I120" s="137" t="n"/>
      <c r="J120" s="117">
        <f>IF(OR(ISNUMBER(F120),ISNUMBER(G120)),IF(ISBLANK(G120),"⚠️ Chưa bóc tách định mức",IF(H120&gt;=0,"✅ OK - Cho phép đặt hàng","❌ CHẶN ĐẶT HÀNG - CẦN BẢO VỆ KL")),"")</f>
        <v/>
      </c>
      <c r="K120" s="138">
        <f>IF(OR(ISNUMBER(F120),ISNUMBER(G120)),IF(ISBLANK(G120),"Kỹ sư/Thầu phụ cần bóc tách KL bản vẽ",IF(H120&gt;=0,"Được đặt hàng tối đa "&amp;G120&amp;" "&amp;E120,"Vượt dự toán "&amp;ABS(H120)&amp;" "&amp;E120&amp;" (QS giải trình &amp; duyệt sửa BOQ)")),"")</f>
        <v/>
      </c>
    </row>
    <row r="121" ht="42.3" customHeight="1" s="75">
      <c r="A121" s="58" t="inlineStr">
        <is>
          <t>DHKK-A.II.1.2</t>
        </is>
      </c>
      <c r="B121" s="139" t="n"/>
      <c r="C121" s="99" t="inlineStr">
        <is>
          <t>Quạt cấp khí kiểu hướng trục nối ống gió PAF-B1-02
 + Lưu lượng: 3570 l/s
 + Áp suất : 700 Pa</t>
        </is>
      </c>
      <c r="D121" s="61" t="inlineStr">
        <is>
          <t>Bộ</t>
        </is>
      </c>
      <c r="E121" s="61" t="inlineStr">
        <is>
          <t>Bộ</t>
        </is>
      </c>
      <c r="F121" s="88" t="n">
        <v>1</v>
      </c>
      <c r="G121" s="85" t="n"/>
      <c r="H121" s="42">
        <f>IF(OR(ISNUMBER(F121),ISNUMBER(G121)),N(F121)-N(G121),"")</f>
        <v/>
      </c>
      <c r="I121" s="137" t="n"/>
      <c r="J121" s="117">
        <f>IF(OR(ISNUMBER(F121),ISNUMBER(G121)),IF(ISBLANK(G121),"⚠️ Chưa bóc tách định mức",IF(H121&gt;=0,"✅ OK - Cho phép đặt hàng","❌ CHẶN ĐẶT HÀNG - CẦN BẢO VỆ KL")),"")</f>
        <v/>
      </c>
      <c r="K121" s="138">
        <f>IF(OR(ISNUMBER(F121),ISNUMBER(G121)),IF(ISBLANK(G121),"Kỹ sư/Thầu phụ cần bóc tách KL bản vẽ",IF(H121&gt;=0,"Được đặt hàng tối đa "&amp;G121&amp;" "&amp;E121,"Vượt dự toán "&amp;ABS(H121)&amp;" "&amp;E121&amp;" (QS giải trình &amp; duyệt sửa BOQ)")),"")</f>
        <v/>
      </c>
    </row>
    <row r="122" ht="56.1" customHeight="1" s="75">
      <c r="A122" s="58" t="inlineStr">
        <is>
          <t>DHKK-A.II.1.3</t>
        </is>
      </c>
      <c r="B122" s="139" t="n"/>
      <c r="C122" s="99" t="inlineStr">
        <is>
          <t>Quạt cấp khí kiểu hướng trục nối ống gió PAF-B1-03,04
 + Lưu lượng: 9630 l/s
 + Áp suất : 700 Pa</t>
        </is>
      </c>
      <c r="D122" s="61" t="inlineStr">
        <is>
          <t>Bộ</t>
        </is>
      </c>
      <c r="E122" s="61" t="inlineStr">
        <is>
          <t>Bộ</t>
        </is>
      </c>
      <c r="F122" s="88" t="n">
        <v>1</v>
      </c>
      <c r="G122" s="85" t="n"/>
      <c r="H122" s="42">
        <f>IF(OR(ISNUMBER(F122),ISNUMBER(G122)),N(F122)-N(G122),"")</f>
        <v/>
      </c>
      <c r="I122" s="137" t="n"/>
      <c r="J122" s="117">
        <f>IF(OR(ISNUMBER(F122),ISNUMBER(G122)),IF(ISBLANK(G122),"⚠️ Chưa bóc tách định mức",IF(H122&gt;=0,"✅ OK - Cho phép đặt hàng","❌ CHẶN ĐẶT HÀNG - CẦN BẢO VỆ KL")),"")</f>
        <v/>
      </c>
      <c r="K122" s="138">
        <f>IF(OR(ISNUMBER(F122),ISNUMBER(G122)),IF(ISBLANK(G122),"Kỹ sư/Thầu phụ cần bóc tách KL bản vẽ",IF(H122&gt;=0,"Được đặt hàng tối đa "&amp;G122&amp;" "&amp;E122,"Vượt dự toán "&amp;ABS(H122)&amp;" "&amp;E122&amp;" (QS giải trình &amp; duyệt sửa BOQ)")),"")</f>
        <v/>
      </c>
    </row>
    <row r="123" ht="42.3" customHeight="1" s="75">
      <c r="A123" s="58" t="inlineStr">
        <is>
          <t>DHKK-A.II.1.4</t>
        </is>
      </c>
      <c r="B123" s="139" t="n"/>
      <c r="C123" s="99" t="inlineStr">
        <is>
          <t>Quạt cấp khí kiểu hướng trục nối ống gió PAF-B1-05
 + Lưu lượng: 6060 l/s
 + Áp suất : 500 Pa</t>
        </is>
      </c>
      <c r="D123" s="61" t="inlineStr">
        <is>
          <t>Bộ</t>
        </is>
      </c>
      <c r="E123" s="61" t="inlineStr">
        <is>
          <t>Bộ</t>
        </is>
      </c>
      <c r="F123" s="88" t="n">
        <v>0</v>
      </c>
      <c r="G123" s="85" t="n"/>
      <c r="H123" s="44">
        <f>IF(OR(ISNUMBER(F123),ISNUMBER(G123)),N(F123)-N(G123),"")</f>
        <v/>
      </c>
      <c r="I123" s="137" t="n"/>
      <c r="J123" s="117">
        <f>IF(OR(ISNUMBER(F123),ISNUMBER(G123)),IF(ISBLANK(G123),"⚠️ Chưa bóc tách định mức",IF(H123&gt;=0,"✅ OK - Cho phép đặt hàng","❌ CHẶN ĐẶT HÀNG - CẦN BẢO VỆ KL")),"")</f>
        <v/>
      </c>
      <c r="K123" s="138">
        <f>IF(OR(ISNUMBER(F123),ISNUMBER(G123)),IF(ISBLANK(G123),"Kỹ sư/Thầu phụ cần bóc tách KL bản vẽ",IF(H123&gt;=0,"Được đặt hàng tối đa "&amp;G123&amp;" "&amp;E123,"Vượt dự toán "&amp;ABS(H123)&amp;" "&amp;E123&amp;" (QS giải trình &amp; duyệt sửa BOQ)")),"")</f>
        <v/>
      </c>
    </row>
    <row r="124" ht="42.3" customHeight="1" s="75">
      <c r="A124" s="58" t="inlineStr">
        <is>
          <t>DHKK-A.II.1.5</t>
        </is>
      </c>
      <c r="B124" s="139" t="n"/>
      <c r="C124" s="99" t="inlineStr">
        <is>
          <t>Quạt cấp khí kiểu hướng trục nối ống gió PAF-B1-06
 + Lưu lượng: 3950 l/s
 + Áp suất : 500 Pa</t>
        </is>
      </c>
      <c r="D124" s="61" t="inlineStr">
        <is>
          <t>Bộ</t>
        </is>
      </c>
      <c r="E124" s="61" t="inlineStr">
        <is>
          <t>Bộ</t>
        </is>
      </c>
      <c r="F124" s="88" t="n">
        <v>0</v>
      </c>
      <c r="G124" s="85" t="n"/>
      <c r="H124" s="44">
        <f>IF(OR(ISNUMBER(F124),ISNUMBER(G124)),N(F124)-N(G124),"")</f>
        <v/>
      </c>
      <c r="I124" s="137" t="n"/>
      <c r="J124" s="117">
        <f>IF(OR(ISNUMBER(F124),ISNUMBER(G124)),IF(ISBLANK(G124),"⚠️ Chưa bóc tách định mức",IF(H124&gt;=0,"✅ OK - Cho phép đặt hàng","❌ CHẶN ĐẶT HÀNG - CẦN BẢO VỆ KL")),"")</f>
        <v/>
      </c>
      <c r="K124" s="138">
        <f>IF(OR(ISNUMBER(F124),ISNUMBER(G124)),IF(ISBLANK(G124),"Kỹ sư/Thầu phụ cần bóc tách KL bản vẽ",IF(H124&gt;=0,"Được đặt hàng tối đa "&amp;G124&amp;" "&amp;E124,"Vượt dự toán "&amp;ABS(H124)&amp;" "&amp;E124&amp;" (QS giải trình &amp; duyệt sửa BOQ)")),"")</f>
        <v/>
      </c>
    </row>
    <row r="125" ht="15.6" customHeight="1" s="75">
      <c r="A125" s="58" t="inlineStr">
        <is>
          <t>DHKK-A.II.1.6</t>
        </is>
      </c>
      <c r="B125" s="24" t="n"/>
      <c r="C125" s="99" t="inlineStr">
        <is>
          <t>Nối mềm cho quạt</t>
        </is>
      </c>
      <c r="D125" s="61" t="inlineStr">
        <is>
          <t>Bộ</t>
        </is>
      </c>
      <c r="E125" s="61" t="inlineStr">
        <is>
          <t>Bộ</t>
        </is>
      </c>
      <c r="F125" s="88" t="n">
        <v>3</v>
      </c>
      <c r="G125" s="85" t="n"/>
      <c r="H125" s="42">
        <f>IF(OR(ISNUMBER(F125),ISNUMBER(G125)),N(F125)-N(G125),"")</f>
        <v/>
      </c>
      <c r="I125" s="142" t="inlineStr">
        <is>
          <t>1 bộ gồm 2 cái</t>
        </is>
      </c>
      <c r="J125" s="117">
        <f>IF(OR(ISNUMBER(F125),ISNUMBER(G125)),IF(ISBLANK(G125),"⚠️ Chưa bóc tách định mức",IF(H125&gt;=0,"✅ OK - Cho phép đặt hàng","❌ CHẶN ĐẶT HÀNG - CẦN BẢO VỆ KL")),"")</f>
        <v/>
      </c>
      <c r="K125" s="138">
        <f>IF(OR(ISNUMBER(F125),ISNUMBER(G125)),IF(ISBLANK(G125),"Kỹ sư/Thầu phụ cần bóc tách KL bản vẽ",IF(H125&gt;=0,"Được đặt hàng tối đa "&amp;G125&amp;" "&amp;E125,"Vượt dự toán "&amp;ABS(H125)&amp;" "&amp;E125&amp;" (QS giải trình &amp; duyệt sửa BOQ)")),"")</f>
        <v/>
      </c>
    </row>
    <row r="126" ht="13.8" customHeight="1" s="75">
      <c r="A126" s="80" t="n"/>
      <c r="B126" s="139" t="n"/>
      <c r="C126" s="101" t="n"/>
      <c r="D126" s="24" t="n"/>
      <c r="E126" s="24" t="n"/>
      <c r="F126" s="85" t="n"/>
      <c r="G126" s="85" t="n"/>
      <c r="H126" s="44" t="n"/>
      <c r="I126" s="137" t="n"/>
    </row>
    <row r="127" ht="14.1" customHeight="1" s="75">
      <c r="A127" s="80" t="n"/>
      <c r="B127" s="37" t="n">
        <v>2</v>
      </c>
      <c r="C127" s="98" t="inlineStr">
        <is>
          <t>Miệng gió, van gió</t>
        </is>
      </c>
      <c r="D127" s="24" t="n"/>
      <c r="E127" s="24" t="n"/>
      <c r="F127" s="85" t="n"/>
      <c r="G127" s="85" t="n"/>
      <c r="H127" s="44" t="n"/>
      <c r="I127" s="137" t="n"/>
    </row>
    <row r="128" ht="15.6" customHeight="1" s="75">
      <c r="A128" s="58" t="inlineStr">
        <is>
          <t>DHKK-A.II.2.1</t>
        </is>
      </c>
      <c r="B128" s="139" t="n"/>
      <c r="C128" s="99" t="inlineStr">
        <is>
          <t>FAG 1000x500 kèm OBD</t>
        </is>
      </c>
      <c r="D128" s="61" t="inlineStr">
        <is>
          <t>Cái</t>
        </is>
      </c>
      <c r="E128" s="61" t="inlineStr">
        <is>
          <t>Cái</t>
        </is>
      </c>
      <c r="F128" s="88" t="n">
        <v>6</v>
      </c>
      <c r="G128" s="85" t="n"/>
      <c r="H128" s="42">
        <f>IF(OR(ISNUMBER(F128),ISNUMBER(G128)),N(F128)-N(G128),"")</f>
        <v/>
      </c>
      <c r="I128" s="142" t="inlineStr">
        <is>
          <t>Miệng gió loại nan bầu dục 1 lớp nan kèm OBD</t>
        </is>
      </c>
      <c r="J128" s="117">
        <f>IF(OR(ISNUMBER(F128),ISNUMBER(G128)),IF(ISBLANK(G128),"⚠️ Chưa bóc tách định mức",IF(H128&gt;=0,"✅ OK - Cho phép đặt hàng","❌ CHẶN ĐẶT HÀNG - CẦN BẢO VỆ KL")),"")</f>
        <v/>
      </c>
      <c r="K128" s="138">
        <f>IF(OR(ISNUMBER(F128),ISNUMBER(G128)),IF(ISBLANK(G128),"Kỹ sư/Thầu phụ cần bóc tách KL bản vẽ",IF(H128&gt;=0,"Được đặt hàng tối đa "&amp;G128&amp;" "&amp;E128,"Vượt dự toán "&amp;ABS(H128)&amp;" "&amp;E128&amp;" (QS giải trình &amp; duyệt sửa BOQ)")),"")</f>
        <v/>
      </c>
    </row>
    <row r="129" ht="15.6" customHeight="1" s="75">
      <c r="A129" s="58" t="inlineStr">
        <is>
          <t>DHKK-A.II.2.2</t>
        </is>
      </c>
      <c r="B129" s="139" t="n"/>
      <c r="C129" s="99" t="inlineStr">
        <is>
          <t>FAG 800x600 kèm OBD</t>
        </is>
      </c>
      <c r="D129" s="61" t="inlineStr">
        <is>
          <t>Cái</t>
        </is>
      </c>
      <c r="E129" s="61" t="inlineStr">
        <is>
          <t>Cái</t>
        </is>
      </c>
      <c r="F129" s="88" t="n">
        <v>10</v>
      </c>
      <c r="G129" s="85" t="n"/>
      <c r="H129" s="42">
        <f>IF(OR(ISNUMBER(F129),ISNUMBER(G129)),N(F129)-N(G129),"")</f>
        <v/>
      </c>
      <c r="I129" s="142" t="inlineStr">
        <is>
          <t>Miệng gió loại nan bầu dục 1 lớp nan kèm OBD</t>
        </is>
      </c>
      <c r="J129" s="117">
        <f>IF(OR(ISNUMBER(F129),ISNUMBER(G129)),IF(ISBLANK(G129),"⚠️ Chưa bóc tách định mức",IF(H129&gt;=0,"✅ OK - Cho phép đặt hàng","❌ CHẶN ĐẶT HÀNG - CẦN BẢO VỆ KL")),"")</f>
        <v/>
      </c>
      <c r="K129" s="138">
        <f>IF(OR(ISNUMBER(F129),ISNUMBER(G129)),IF(ISBLANK(G129),"Kỹ sư/Thầu phụ cần bóc tách KL bản vẽ",IF(H129&gt;=0,"Được đặt hàng tối đa "&amp;G129&amp;" "&amp;E129,"Vượt dự toán "&amp;ABS(H129)&amp;" "&amp;E129&amp;" (QS giải trình &amp; duyệt sửa BOQ)")),"")</f>
        <v/>
      </c>
    </row>
    <row r="130" ht="15.6" customHeight="1" s="75">
      <c r="A130" s="58" t="inlineStr">
        <is>
          <t>DHKK-A.II.2.3</t>
        </is>
      </c>
      <c r="B130" s="139" t="n"/>
      <c r="C130" s="99" t="inlineStr">
        <is>
          <t>FAG 600x800 kèm OBD</t>
        </is>
      </c>
      <c r="D130" s="61" t="inlineStr">
        <is>
          <t>Cái</t>
        </is>
      </c>
      <c r="E130" s="61" t="inlineStr">
        <is>
          <t>Cái</t>
        </is>
      </c>
      <c r="F130" s="88" t="n">
        <v>6</v>
      </c>
      <c r="G130" s="85" t="n"/>
      <c r="H130" s="42">
        <f>IF(OR(ISNUMBER(F130),ISNUMBER(G130)),N(F130)-N(G130),"")</f>
        <v/>
      </c>
      <c r="I130" s="142" t="inlineStr">
        <is>
          <t>Miệng gió loại nan bầu dục 1 lớp nan kèm OBD</t>
        </is>
      </c>
      <c r="J130" s="117">
        <f>IF(OR(ISNUMBER(F130),ISNUMBER(G130)),IF(ISBLANK(G130),"⚠️ Chưa bóc tách định mức",IF(H130&gt;=0,"✅ OK - Cho phép đặt hàng","❌ CHẶN ĐẶT HÀNG - CẦN BẢO VỆ KL")),"")</f>
        <v/>
      </c>
      <c r="K130" s="138">
        <f>IF(OR(ISNUMBER(F130),ISNUMBER(G130)),IF(ISBLANK(G130),"Kỹ sư/Thầu phụ cần bóc tách KL bản vẽ",IF(H130&gt;=0,"Được đặt hàng tối đa "&amp;G130&amp;" "&amp;E130,"Vượt dự toán "&amp;ABS(H130)&amp;" "&amp;E130&amp;" (QS giải trình &amp; duyệt sửa BOQ)")),"")</f>
        <v/>
      </c>
    </row>
    <row r="131" ht="15.6" customHeight="1" s="75">
      <c r="A131" s="58" t="inlineStr">
        <is>
          <t>DHKK-A.II.2.4</t>
        </is>
      </c>
      <c r="B131" s="139" t="n"/>
      <c r="C131" s="99" t="inlineStr">
        <is>
          <t>FAG 500x300 kèm OBD</t>
        </is>
      </c>
      <c r="D131" s="61" t="inlineStr">
        <is>
          <t>Cái</t>
        </is>
      </c>
      <c r="E131" s="61" t="inlineStr">
        <is>
          <t>Cái</t>
        </is>
      </c>
      <c r="F131" s="88" t="n">
        <v>1</v>
      </c>
      <c r="G131" s="85" t="n"/>
      <c r="H131" s="42">
        <f>IF(OR(ISNUMBER(F131),ISNUMBER(G131)),N(F131)-N(G131),"")</f>
        <v/>
      </c>
      <c r="I131" s="142" t="inlineStr">
        <is>
          <t>Miệng gió loại nan bầu dục 1 lớp nan kèm OBD</t>
        </is>
      </c>
      <c r="J131" s="117">
        <f>IF(OR(ISNUMBER(F131),ISNUMBER(G131)),IF(ISBLANK(G131),"⚠️ Chưa bóc tách định mức",IF(H131&gt;=0,"✅ OK - Cho phép đặt hàng","❌ CHẶN ĐẶT HÀNG - CẦN BẢO VỆ KL")),"")</f>
        <v/>
      </c>
      <c r="K131" s="138">
        <f>IF(OR(ISNUMBER(F131),ISNUMBER(G131)),IF(ISBLANK(G131),"Kỹ sư/Thầu phụ cần bóc tách KL bản vẽ",IF(H131&gt;=0,"Được đặt hàng tối đa "&amp;G131&amp;" "&amp;E131,"Vượt dự toán "&amp;ABS(H131)&amp;" "&amp;E131&amp;" (QS giải trình &amp; duyệt sửa BOQ)")),"")</f>
        <v/>
      </c>
    </row>
    <row r="132" ht="15.6" customHeight="1" s="75">
      <c r="A132" s="58" t="inlineStr">
        <is>
          <t>DHKK-A.II.2.5</t>
        </is>
      </c>
      <c r="B132" s="24" t="n"/>
      <c r="C132" s="99" t="inlineStr">
        <is>
          <t>FAG 400x1200 kèm OBD</t>
        </is>
      </c>
      <c r="D132" s="61" t="inlineStr">
        <is>
          <t>Cái</t>
        </is>
      </c>
      <c r="E132" s="61" t="inlineStr">
        <is>
          <t>Cái</t>
        </is>
      </c>
      <c r="F132" s="88" t="n">
        <v>0</v>
      </c>
      <c r="G132" s="85" t="n"/>
      <c r="H132" s="44">
        <f>IF(OR(ISNUMBER(F132),ISNUMBER(G132)),N(F132)-N(G132),"")</f>
        <v/>
      </c>
      <c r="I132" s="142" t="inlineStr">
        <is>
          <t>Miệng gió loại nan bầu dục 1 lớp nan kèm OBD</t>
        </is>
      </c>
      <c r="J132" s="117">
        <f>IF(OR(ISNUMBER(F132),ISNUMBER(G132)),IF(ISBLANK(G132),"⚠️ Chưa bóc tách định mức",IF(H132&gt;=0,"✅ OK - Cho phép đặt hàng","❌ CHẶN ĐẶT HÀNG - CẦN BẢO VỆ KL")),"")</f>
        <v/>
      </c>
      <c r="K132" s="138">
        <f>IF(OR(ISNUMBER(F132),ISNUMBER(G132)),IF(ISBLANK(G132),"Kỹ sư/Thầu phụ cần bóc tách KL bản vẽ",IF(H132&gt;=0,"Được đặt hàng tối đa "&amp;G132&amp;" "&amp;E132,"Vượt dự toán "&amp;ABS(H132)&amp;" "&amp;E132&amp;" (QS giải trình &amp; duyệt sửa BOQ)")),"")</f>
        <v/>
      </c>
    </row>
    <row r="133" ht="15.6" customHeight="1" s="75">
      <c r="A133" s="58" t="inlineStr">
        <is>
          <t>DHKK-A.II.2.6</t>
        </is>
      </c>
      <c r="B133" s="139" t="n"/>
      <c r="C133" s="99" t="inlineStr">
        <is>
          <t>FAG 300x1200 kèm OBD</t>
        </is>
      </c>
      <c r="D133" s="61" t="inlineStr">
        <is>
          <t>Cái</t>
        </is>
      </c>
      <c r="E133" s="61" t="inlineStr">
        <is>
          <t>Cái</t>
        </is>
      </c>
      <c r="F133" s="88" t="n">
        <v>0</v>
      </c>
      <c r="G133" s="85" t="n"/>
      <c r="H133" s="44">
        <f>IF(OR(ISNUMBER(F133),ISNUMBER(G133)),N(F133)-N(G133),"")</f>
        <v/>
      </c>
      <c r="I133" s="142" t="inlineStr">
        <is>
          <t>Miệng gió loại nan bầu dục 1 lớp nan kèm OBD</t>
        </is>
      </c>
      <c r="J133" s="117">
        <f>IF(OR(ISNUMBER(F133),ISNUMBER(G133)),IF(ISBLANK(G133),"⚠️ Chưa bóc tách định mức",IF(H133&gt;=0,"✅ OK - Cho phép đặt hàng","❌ CHẶN ĐẶT HÀNG - CẦN BẢO VỆ KL")),"")</f>
        <v/>
      </c>
      <c r="K133" s="138">
        <f>IF(OR(ISNUMBER(F133),ISNUMBER(G133)),IF(ISBLANK(G133),"Kỹ sư/Thầu phụ cần bóc tách KL bản vẽ",IF(H133&gt;=0,"Được đặt hàng tối đa "&amp;G133&amp;" "&amp;E133,"Vượt dự toán "&amp;ABS(H133)&amp;" "&amp;E133&amp;" (QS giải trình &amp; duyệt sửa BOQ)")),"")</f>
        <v/>
      </c>
    </row>
    <row r="134" ht="15.6" customHeight="1" s="75">
      <c r="A134" s="58" t="inlineStr">
        <is>
          <t>DHKK-A.II.2.7</t>
        </is>
      </c>
      <c r="B134" s="139" t="n"/>
      <c r="C134" s="99" t="inlineStr">
        <is>
          <t>MD 1200x500</t>
        </is>
      </c>
      <c r="D134" s="61" t="inlineStr">
        <is>
          <t>Cái</t>
        </is>
      </c>
      <c r="E134" s="61" t="inlineStr">
        <is>
          <t>Cái</t>
        </is>
      </c>
      <c r="F134" s="88" t="n">
        <v>1</v>
      </c>
      <c r="G134" s="85" t="n"/>
      <c r="H134" s="42">
        <f>IF(OR(ISNUMBER(F134),ISNUMBER(G134)),N(F134)-N(G134),"")</f>
        <v/>
      </c>
      <c r="I134" s="142" t="inlineStr">
        <is>
          <t>EI60</t>
        </is>
      </c>
      <c r="J134" s="117">
        <f>IF(OR(ISNUMBER(F134),ISNUMBER(G134)),IF(ISBLANK(G134),"⚠️ Chưa bóc tách định mức",IF(H134&gt;=0,"✅ OK - Cho phép đặt hàng","❌ CHẶN ĐẶT HÀNG - CẦN BẢO VỆ KL")),"")</f>
        <v/>
      </c>
      <c r="K134" s="138">
        <f>IF(OR(ISNUMBER(F134),ISNUMBER(G134)),IF(ISBLANK(G134),"Kỹ sư/Thầu phụ cần bóc tách KL bản vẽ",IF(H134&gt;=0,"Được đặt hàng tối đa "&amp;G134&amp;" "&amp;E134,"Vượt dự toán "&amp;ABS(H134)&amp;" "&amp;E134&amp;" (QS giải trình &amp; duyệt sửa BOQ)")),"")</f>
        <v/>
      </c>
    </row>
    <row r="135" ht="15.6" customHeight="1" s="75">
      <c r="A135" s="58" t="inlineStr">
        <is>
          <t>DHKK-A.II.2.8</t>
        </is>
      </c>
      <c r="B135" s="24" t="n"/>
      <c r="C135" s="99" t="inlineStr">
        <is>
          <t>MD 1000x300</t>
        </is>
      </c>
      <c r="D135" s="61" t="inlineStr">
        <is>
          <t>Cái</t>
        </is>
      </c>
      <c r="E135" s="61" t="inlineStr">
        <is>
          <t>Cái</t>
        </is>
      </c>
      <c r="F135" s="88" t="n">
        <v>1</v>
      </c>
      <c r="G135" s="85" t="n"/>
      <c r="H135" s="42">
        <f>IF(OR(ISNUMBER(F135),ISNUMBER(G135)),N(F135)-N(G135),"")</f>
        <v/>
      </c>
      <c r="I135" s="142" t="inlineStr">
        <is>
          <t>EI60</t>
        </is>
      </c>
      <c r="J135" s="117">
        <f>IF(OR(ISNUMBER(F135),ISNUMBER(G135)),IF(ISBLANK(G135),"⚠️ Chưa bóc tách định mức",IF(H135&gt;=0,"✅ OK - Cho phép đặt hàng","❌ CHẶN ĐẶT HÀNG - CẦN BẢO VỆ KL")),"")</f>
        <v/>
      </c>
      <c r="K135" s="138">
        <f>IF(OR(ISNUMBER(F135),ISNUMBER(G135)),IF(ISBLANK(G135),"Kỹ sư/Thầu phụ cần bóc tách KL bản vẽ",IF(H135&gt;=0,"Được đặt hàng tối đa "&amp;G135&amp;" "&amp;E135,"Vượt dự toán "&amp;ABS(H135)&amp;" "&amp;E135&amp;" (QS giải trình &amp; duyệt sửa BOQ)")),"")</f>
        <v/>
      </c>
    </row>
    <row r="136" ht="15.6" customHeight="1" s="75">
      <c r="A136" s="58" t="inlineStr">
        <is>
          <t>DHKK-A.II.2.9</t>
        </is>
      </c>
      <c r="B136" s="139" t="n"/>
      <c r="C136" s="99" t="inlineStr">
        <is>
          <t>MD 1000x500</t>
        </is>
      </c>
      <c r="D136" s="61" t="inlineStr">
        <is>
          <t>Cái</t>
        </is>
      </c>
      <c r="E136" s="61" t="inlineStr">
        <is>
          <t>Cái</t>
        </is>
      </c>
      <c r="F136" s="88" t="n">
        <v>0</v>
      </c>
      <c r="G136" s="85" t="n"/>
      <c r="H136" s="44">
        <f>IF(OR(ISNUMBER(F136),ISNUMBER(G136)),N(F136)-N(G136),"")</f>
        <v/>
      </c>
      <c r="I136" s="142" t="inlineStr">
        <is>
          <t>EI60</t>
        </is>
      </c>
      <c r="J136" s="117">
        <f>IF(OR(ISNUMBER(F136),ISNUMBER(G136)),IF(ISBLANK(G136),"⚠️ Chưa bóc tách định mức",IF(H136&gt;=0,"✅ OK - Cho phép đặt hàng","❌ CHẶN ĐẶT HÀNG - CẦN BẢO VỆ KL")),"")</f>
        <v/>
      </c>
      <c r="K136" s="138">
        <f>IF(OR(ISNUMBER(F136),ISNUMBER(G136)),IF(ISBLANK(G136),"Kỹ sư/Thầu phụ cần bóc tách KL bản vẽ",IF(H136&gt;=0,"Được đặt hàng tối đa "&amp;G136&amp;" "&amp;E136,"Vượt dự toán "&amp;ABS(H136)&amp;" "&amp;E136&amp;" (QS giải trình &amp; duyệt sửa BOQ)")),"")</f>
        <v/>
      </c>
    </row>
    <row r="137" ht="15.6" customHeight="1" s="75">
      <c r="A137" s="58" t="inlineStr">
        <is>
          <t>DHKK-A.II.2.10</t>
        </is>
      </c>
      <c r="B137" s="139" t="n"/>
      <c r="C137" s="99" t="inlineStr">
        <is>
          <t>MD 1000x600</t>
        </is>
      </c>
      <c r="D137" s="61" t="inlineStr">
        <is>
          <t>Cái</t>
        </is>
      </c>
      <c r="E137" s="61" t="inlineStr">
        <is>
          <t>Cái</t>
        </is>
      </c>
      <c r="F137" s="88" t="n">
        <v>0</v>
      </c>
      <c r="G137" s="85" t="n"/>
      <c r="H137" s="44">
        <f>IF(OR(ISNUMBER(F137),ISNUMBER(G137)),N(F137)-N(G137),"")</f>
        <v/>
      </c>
      <c r="I137" s="142" t="inlineStr">
        <is>
          <t>EI60</t>
        </is>
      </c>
      <c r="J137" s="117">
        <f>IF(OR(ISNUMBER(F137),ISNUMBER(G137)),IF(ISBLANK(G137),"⚠️ Chưa bóc tách định mức",IF(H137&gt;=0,"✅ OK - Cho phép đặt hàng","❌ CHẶN ĐẶT HÀNG - CẦN BẢO VỆ KL")),"")</f>
        <v/>
      </c>
      <c r="K137" s="138">
        <f>IF(OR(ISNUMBER(F137),ISNUMBER(G137)),IF(ISBLANK(G137),"Kỹ sư/Thầu phụ cần bóc tách KL bản vẽ",IF(H137&gt;=0,"Được đặt hàng tối đa "&amp;G137&amp;" "&amp;E137,"Vượt dự toán "&amp;ABS(H137)&amp;" "&amp;E137&amp;" (QS giải trình &amp; duyệt sửa BOQ)")),"")</f>
        <v/>
      </c>
    </row>
    <row r="138" ht="15.6" customHeight="1" s="75">
      <c r="A138" s="58" t="inlineStr">
        <is>
          <t>DHKK-A.II.2.11</t>
        </is>
      </c>
      <c r="B138" s="24" t="n"/>
      <c r="C138" s="99" t="inlineStr">
        <is>
          <t>MD 1600x500</t>
        </is>
      </c>
      <c r="D138" s="61" t="inlineStr">
        <is>
          <t>Cái</t>
        </is>
      </c>
      <c r="E138" s="61" t="inlineStr">
        <is>
          <t>Cái</t>
        </is>
      </c>
      <c r="F138" s="88" t="n">
        <v>0</v>
      </c>
      <c r="G138" s="85" t="n"/>
      <c r="H138" s="44">
        <f>IF(OR(ISNUMBER(F138),ISNUMBER(G138)),N(F138)-N(G138),"")</f>
        <v/>
      </c>
      <c r="I138" s="142" t="inlineStr">
        <is>
          <t>EI60</t>
        </is>
      </c>
      <c r="J138" s="117">
        <f>IF(OR(ISNUMBER(F138),ISNUMBER(G138)),IF(ISBLANK(G138),"⚠️ Chưa bóc tách định mức",IF(H138&gt;=0,"✅ OK - Cho phép đặt hàng","❌ CHẶN ĐẶT HÀNG - CẦN BẢO VỆ KL")),"")</f>
        <v/>
      </c>
      <c r="K138" s="138">
        <f>IF(OR(ISNUMBER(F138),ISNUMBER(G138)),IF(ISBLANK(G138),"Kỹ sư/Thầu phụ cần bóc tách KL bản vẽ",IF(H138&gt;=0,"Được đặt hàng tối đa "&amp;G138&amp;" "&amp;E138,"Vượt dự toán "&amp;ABS(H138)&amp;" "&amp;E138&amp;" (QS giải trình &amp; duyệt sửa BOQ)")),"")</f>
        <v/>
      </c>
    </row>
    <row r="139" ht="15.6" customHeight="1" s="75">
      <c r="A139" s="58" t="inlineStr">
        <is>
          <t>DHKK-A.II.2.12</t>
        </is>
      </c>
      <c r="B139" s="139" t="n"/>
      <c r="C139" s="99" t="inlineStr">
        <is>
          <t>MD 1600x600</t>
        </is>
      </c>
      <c r="D139" s="61" t="inlineStr">
        <is>
          <t>Cái</t>
        </is>
      </c>
      <c r="E139" s="61" t="inlineStr">
        <is>
          <t>Cái</t>
        </is>
      </c>
      <c r="F139" s="88" t="n">
        <v>1</v>
      </c>
      <c r="G139" s="85" t="n"/>
      <c r="H139" s="42">
        <f>IF(OR(ISNUMBER(F139),ISNUMBER(G139)),N(F139)-N(G139),"")</f>
        <v/>
      </c>
      <c r="I139" s="142" t="inlineStr">
        <is>
          <t>EI60</t>
        </is>
      </c>
      <c r="J139" s="117">
        <f>IF(OR(ISNUMBER(F139),ISNUMBER(G139)),IF(ISBLANK(G139),"⚠️ Chưa bóc tách định mức",IF(H139&gt;=0,"✅ OK - Cho phép đặt hàng","❌ CHẶN ĐẶT HÀNG - CẦN BẢO VỆ KL")),"")</f>
        <v/>
      </c>
      <c r="K139" s="138">
        <f>IF(OR(ISNUMBER(F139),ISNUMBER(G139)),IF(ISBLANK(G139),"Kỹ sư/Thầu phụ cần bóc tách KL bản vẽ",IF(H139&gt;=0,"Được đặt hàng tối đa "&amp;G139&amp;" "&amp;E139,"Vượt dự toán "&amp;ABS(H139)&amp;" "&amp;E139&amp;" (QS giải trình &amp; duyệt sửa BOQ)")),"")</f>
        <v/>
      </c>
    </row>
    <row r="140" ht="15.6" customHeight="1" s="75">
      <c r="A140" s="58" t="inlineStr">
        <is>
          <t>DHKK-A.II.2.13</t>
        </is>
      </c>
      <c r="B140" s="139" t="n"/>
      <c r="C140" s="99" t="inlineStr">
        <is>
          <t>MFD 1000x300</t>
        </is>
      </c>
      <c r="D140" s="61" t="inlineStr">
        <is>
          <t>Cái</t>
        </is>
      </c>
      <c r="E140" s="61" t="inlineStr">
        <is>
          <t>Cái</t>
        </is>
      </c>
      <c r="F140" s="88" t="n">
        <v>0</v>
      </c>
      <c r="G140" s="85" t="n"/>
      <c r="H140" s="44">
        <f>IF(OR(ISNUMBER(F140),ISNUMBER(G140)),N(F140)-N(G140),"")</f>
        <v/>
      </c>
      <c r="I140" s="142" t="inlineStr">
        <is>
          <t>EI60</t>
        </is>
      </c>
      <c r="J140" s="117">
        <f>IF(OR(ISNUMBER(F140),ISNUMBER(G140)),IF(ISBLANK(G140),"⚠️ Chưa bóc tách định mức",IF(H140&gt;=0,"✅ OK - Cho phép đặt hàng","❌ CHẶN ĐẶT HÀNG - CẦN BẢO VỆ KL")),"")</f>
        <v/>
      </c>
      <c r="K140" s="138">
        <f>IF(OR(ISNUMBER(F140),ISNUMBER(G140)),IF(ISBLANK(G140),"Kỹ sư/Thầu phụ cần bóc tách KL bản vẽ",IF(H140&gt;=0,"Được đặt hàng tối đa "&amp;G140&amp;" "&amp;E140,"Vượt dự toán "&amp;ABS(H140)&amp;" "&amp;E140&amp;" (QS giải trình &amp; duyệt sửa BOQ)")),"")</f>
        <v/>
      </c>
    </row>
    <row r="141" ht="15.6" customHeight="1" s="75">
      <c r="A141" s="58" t="inlineStr">
        <is>
          <t>DHKK-A.II.2.14</t>
        </is>
      </c>
      <c r="B141" s="139" t="n"/>
      <c r="C141" s="99" t="inlineStr">
        <is>
          <t>MFD 1000x500</t>
        </is>
      </c>
      <c r="D141" s="61" t="inlineStr">
        <is>
          <t>Cái</t>
        </is>
      </c>
      <c r="E141" s="61" t="inlineStr">
        <is>
          <t>Cái</t>
        </is>
      </c>
      <c r="F141" s="88" t="n">
        <v>0</v>
      </c>
      <c r="G141" s="85" t="n"/>
      <c r="H141" s="44">
        <f>IF(OR(ISNUMBER(F141),ISNUMBER(G141)),N(F141)-N(G141),"")</f>
        <v/>
      </c>
      <c r="I141" s="142" t="inlineStr">
        <is>
          <t>EI60</t>
        </is>
      </c>
      <c r="J141" s="117">
        <f>IF(OR(ISNUMBER(F141),ISNUMBER(G141)),IF(ISBLANK(G141),"⚠️ Chưa bóc tách định mức",IF(H141&gt;=0,"✅ OK - Cho phép đặt hàng","❌ CHẶN ĐẶT HÀNG - CẦN BẢO VỆ KL")),"")</f>
        <v/>
      </c>
      <c r="K141" s="138">
        <f>IF(OR(ISNUMBER(F141),ISNUMBER(G141)),IF(ISBLANK(G141),"Kỹ sư/Thầu phụ cần bóc tách KL bản vẽ",IF(H141&gt;=0,"Được đặt hàng tối đa "&amp;G141&amp;" "&amp;E141,"Vượt dự toán "&amp;ABS(H141)&amp;" "&amp;E141&amp;" (QS giải trình &amp; duyệt sửa BOQ)")),"")</f>
        <v/>
      </c>
    </row>
    <row r="142" ht="15.6" customHeight="1" s="75">
      <c r="A142" s="58" t="inlineStr">
        <is>
          <t>DHKK-A.II.2.15</t>
        </is>
      </c>
      <c r="B142" s="139" t="n"/>
      <c r="C142" s="99" t="inlineStr">
        <is>
          <t>MFD 1000x600</t>
        </is>
      </c>
      <c r="D142" s="61" t="inlineStr">
        <is>
          <t>Cái</t>
        </is>
      </c>
      <c r="E142" s="61" t="inlineStr">
        <is>
          <t>Cái</t>
        </is>
      </c>
      <c r="F142" s="88" t="n">
        <v>0</v>
      </c>
      <c r="G142" s="85" t="n"/>
      <c r="H142" s="44">
        <f>IF(OR(ISNUMBER(F142),ISNUMBER(G142)),N(F142)-N(G142),"")</f>
        <v/>
      </c>
      <c r="I142" s="142" t="inlineStr">
        <is>
          <t>EI60</t>
        </is>
      </c>
      <c r="J142" s="117">
        <f>IF(OR(ISNUMBER(F142),ISNUMBER(G142)),IF(ISBLANK(G142),"⚠️ Chưa bóc tách định mức",IF(H142&gt;=0,"✅ OK - Cho phép đặt hàng","❌ CHẶN ĐẶT HÀNG - CẦN BẢO VỆ KL")),"")</f>
        <v/>
      </c>
      <c r="K142" s="138">
        <f>IF(OR(ISNUMBER(F142),ISNUMBER(G142)),IF(ISBLANK(G142),"Kỹ sư/Thầu phụ cần bóc tách KL bản vẽ",IF(H142&gt;=0,"Được đặt hàng tối đa "&amp;G142&amp;" "&amp;E142,"Vượt dự toán "&amp;ABS(H142)&amp;" "&amp;E142&amp;" (QS giải trình &amp; duyệt sửa BOQ)")),"")</f>
        <v/>
      </c>
    </row>
    <row r="143" ht="15.6" customHeight="1" s="75">
      <c r="A143" s="58" t="inlineStr">
        <is>
          <t>DHKK-A.II.2.16</t>
        </is>
      </c>
      <c r="B143" s="139" t="n"/>
      <c r="C143" s="99" t="inlineStr">
        <is>
          <t>MFD 1200x500</t>
        </is>
      </c>
      <c r="D143" s="61" t="inlineStr">
        <is>
          <t>Cái</t>
        </is>
      </c>
      <c r="E143" s="61" t="inlineStr">
        <is>
          <t>Cái</t>
        </is>
      </c>
      <c r="F143" s="88" t="n">
        <v>1</v>
      </c>
      <c r="G143" s="85" t="n"/>
      <c r="H143" s="42">
        <f>IF(OR(ISNUMBER(F143),ISNUMBER(G143)),N(F143)-N(G143),"")</f>
        <v/>
      </c>
      <c r="I143" s="142" t="inlineStr">
        <is>
          <t>EI60</t>
        </is>
      </c>
      <c r="J143" s="117">
        <f>IF(OR(ISNUMBER(F143),ISNUMBER(G143)),IF(ISBLANK(G143),"⚠️ Chưa bóc tách định mức",IF(H143&gt;=0,"✅ OK - Cho phép đặt hàng","❌ CHẶN ĐẶT HÀNG - CẦN BẢO VỆ KL")),"")</f>
        <v/>
      </c>
      <c r="K143" s="138">
        <f>IF(OR(ISNUMBER(F143),ISNUMBER(G143)),IF(ISBLANK(G143),"Kỹ sư/Thầu phụ cần bóc tách KL bản vẽ",IF(H143&gt;=0,"Được đặt hàng tối đa "&amp;G143&amp;" "&amp;E143,"Vượt dự toán "&amp;ABS(H143)&amp;" "&amp;E143&amp;" (QS giải trình &amp; duyệt sửa BOQ)")),"")</f>
        <v/>
      </c>
    </row>
    <row r="144" ht="15.6" customHeight="1" s="75">
      <c r="A144" s="58" t="inlineStr">
        <is>
          <t>DHKK-A.II.2.17</t>
        </is>
      </c>
      <c r="B144" s="139" t="n"/>
      <c r="C144" s="99" t="inlineStr">
        <is>
          <t>MFD 1600x500</t>
        </is>
      </c>
      <c r="D144" s="61" t="inlineStr">
        <is>
          <t>Cái</t>
        </is>
      </c>
      <c r="E144" s="61" t="inlineStr">
        <is>
          <t>Cái</t>
        </is>
      </c>
      <c r="F144" s="88" t="n">
        <v>0</v>
      </c>
      <c r="G144" s="85" t="n"/>
      <c r="H144" s="44">
        <f>IF(OR(ISNUMBER(F144),ISNUMBER(G144)),N(F144)-N(G144),"")</f>
        <v/>
      </c>
      <c r="I144" s="142" t="inlineStr">
        <is>
          <t>EI60</t>
        </is>
      </c>
      <c r="J144" s="117">
        <f>IF(OR(ISNUMBER(F144),ISNUMBER(G144)),IF(ISBLANK(G144),"⚠️ Chưa bóc tách định mức",IF(H144&gt;=0,"✅ OK - Cho phép đặt hàng","❌ CHẶN ĐẶT HÀNG - CẦN BẢO VỆ KL")),"")</f>
        <v/>
      </c>
      <c r="K144" s="138">
        <f>IF(OR(ISNUMBER(F144),ISNUMBER(G144)),IF(ISBLANK(G144),"Kỹ sư/Thầu phụ cần bóc tách KL bản vẽ",IF(H144&gt;=0,"Được đặt hàng tối đa "&amp;G144&amp;" "&amp;E144,"Vượt dự toán "&amp;ABS(H144)&amp;" "&amp;E144&amp;" (QS giải trình &amp; duyệt sửa BOQ)")),"")</f>
        <v/>
      </c>
    </row>
    <row r="145" ht="15.6" customHeight="1" s="75">
      <c r="A145" s="58" t="inlineStr">
        <is>
          <t>DHKK-A.II.2.18</t>
        </is>
      </c>
      <c r="B145" s="139" t="n"/>
      <c r="C145" s="99" t="inlineStr">
        <is>
          <t>MFD 1600x600</t>
        </is>
      </c>
      <c r="D145" s="61" t="inlineStr">
        <is>
          <t>Cái</t>
        </is>
      </c>
      <c r="E145" s="61" t="inlineStr">
        <is>
          <t>Cái</t>
        </is>
      </c>
      <c r="F145" s="88" t="n">
        <v>1</v>
      </c>
      <c r="G145" s="85" t="n"/>
      <c r="H145" s="42">
        <f>IF(OR(ISNUMBER(F145),ISNUMBER(G145)),N(F145)-N(G145),"")</f>
        <v/>
      </c>
      <c r="I145" s="142" t="inlineStr">
        <is>
          <t>EI60</t>
        </is>
      </c>
      <c r="J145" s="117">
        <f>IF(OR(ISNUMBER(F145),ISNUMBER(G145)),IF(ISBLANK(G145),"⚠️ Chưa bóc tách định mức",IF(H145&gt;=0,"✅ OK - Cho phép đặt hàng","❌ CHẶN ĐẶT HÀNG - CẦN BẢO VỆ KL")),"")</f>
        <v/>
      </c>
      <c r="K145" s="138">
        <f>IF(OR(ISNUMBER(F145),ISNUMBER(G145)),IF(ISBLANK(G145),"Kỹ sư/Thầu phụ cần bóc tách KL bản vẽ",IF(H145&gt;=0,"Được đặt hàng tối đa "&amp;G145&amp;" "&amp;E145,"Vượt dự toán "&amp;ABS(H145)&amp;" "&amp;E145&amp;" (QS giải trình &amp; duyệt sửa BOQ)")),"")</f>
        <v/>
      </c>
    </row>
    <row r="146" ht="15.6" customHeight="1" s="75">
      <c r="A146" s="58" t="inlineStr">
        <is>
          <t>DHKK-A.II.2.19</t>
        </is>
      </c>
      <c r="B146" s="24" t="n"/>
      <c r="C146" s="99" t="inlineStr">
        <is>
          <t>NRD 1000x300</t>
        </is>
      </c>
      <c r="D146" s="61" t="inlineStr">
        <is>
          <t>Cái</t>
        </is>
      </c>
      <c r="E146" s="61" t="inlineStr">
        <is>
          <t>Cái</t>
        </is>
      </c>
      <c r="F146" s="88" t="n">
        <v>1</v>
      </c>
      <c r="G146" s="85" t="n"/>
      <c r="H146" s="42">
        <f>IF(OR(ISNUMBER(F146),ISNUMBER(G146)),N(F146)-N(G146),"")</f>
        <v/>
      </c>
      <c r="I146" s="142" t="inlineStr">
        <is>
          <t>EI60</t>
        </is>
      </c>
      <c r="J146" s="117">
        <f>IF(OR(ISNUMBER(F146),ISNUMBER(G146)),IF(ISBLANK(G146),"⚠️ Chưa bóc tách định mức",IF(H146&gt;=0,"✅ OK - Cho phép đặt hàng","❌ CHẶN ĐẶT HÀNG - CẦN BẢO VỆ KL")),"")</f>
        <v/>
      </c>
      <c r="K146" s="138">
        <f>IF(OR(ISNUMBER(F146),ISNUMBER(G146)),IF(ISBLANK(G146),"Kỹ sư/Thầu phụ cần bóc tách KL bản vẽ",IF(H146&gt;=0,"Được đặt hàng tối đa "&amp;G146&amp;" "&amp;E146,"Vượt dự toán "&amp;ABS(H146)&amp;" "&amp;E146&amp;" (QS giải trình &amp; duyệt sửa BOQ)")),"")</f>
        <v/>
      </c>
    </row>
    <row r="147" ht="15.6" customHeight="1" s="75">
      <c r="A147" s="58" t="inlineStr">
        <is>
          <t>DHKK-A.II.2.20</t>
        </is>
      </c>
      <c r="B147" s="139" t="n"/>
      <c r="C147" s="99" t="inlineStr">
        <is>
          <t>NRD 1000x500</t>
        </is>
      </c>
      <c r="D147" s="61" t="inlineStr">
        <is>
          <t>Cái</t>
        </is>
      </c>
      <c r="E147" s="61" t="inlineStr">
        <is>
          <t>Cái</t>
        </is>
      </c>
      <c r="F147" s="88" t="n">
        <v>0</v>
      </c>
      <c r="G147" s="85" t="n"/>
      <c r="H147" s="44">
        <f>IF(OR(ISNUMBER(F147),ISNUMBER(G147)),N(F147)-N(G147),"")</f>
        <v/>
      </c>
      <c r="I147" s="142" t="inlineStr">
        <is>
          <t>EI60</t>
        </is>
      </c>
      <c r="J147" s="117">
        <f>IF(OR(ISNUMBER(F147),ISNUMBER(G147)),IF(ISBLANK(G147),"⚠️ Chưa bóc tách định mức",IF(H147&gt;=0,"✅ OK - Cho phép đặt hàng","❌ CHẶN ĐẶT HÀNG - CẦN BẢO VỆ KL")),"")</f>
        <v/>
      </c>
      <c r="K147" s="138">
        <f>IF(OR(ISNUMBER(F147),ISNUMBER(G147)),IF(ISBLANK(G147),"Kỹ sư/Thầu phụ cần bóc tách KL bản vẽ",IF(H147&gt;=0,"Được đặt hàng tối đa "&amp;G147&amp;" "&amp;E147,"Vượt dự toán "&amp;ABS(H147)&amp;" "&amp;E147&amp;" (QS giải trình &amp; duyệt sửa BOQ)")),"")</f>
        <v/>
      </c>
    </row>
    <row r="148" ht="15.6" customHeight="1" s="75">
      <c r="A148" s="58" t="inlineStr">
        <is>
          <t>DHKK-A.II.2.21</t>
        </is>
      </c>
      <c r="B148" s="139" t="n"/>
      <c r="C148" s="99" t="inlineStr">
        <is>
          <t>NRD 1000x600</t>
        </is>
      </c>
      <c r="D148" s="61" t="inlineStr">
        <is>
          <t>Cái</t>
        </is>
      </c>
      <c r="E148" s="61" t="inlineStr">
        <is>
          <t>Cái</t>
        </is>
      </c>
      <c r="F148" s="88" t="n">
        <v>0</v>
      </c>
      <c r="G148" s="85" t="n"/>
      <c r="H148" s="44">
        <f>IF(OR(ISNUMBER(F148),ISNUMBER(G148)),N(F148)-N(G148),"")</f>
        <v/>
      </c>
      <c r="I148" s="142" t="inlineStr">
        <is>
          <t>EI60</t>
        </is>
      </c>
      <c r="J148" s="117">
        <f>IF(OR(ISNUMBER(F148),ISNUMBER(G148)),IF(ISBLANK(G148),"⚠️ Chưa bóc tách định mức",IF(H148&gt;=0,"✅ OK - Cho phép đặt hàng","❌ CHẶN ĐẶT HÀNG - CẦN BẢO VỆ KL")),"")</f>
        <v/>
      </c>
      <c r="K148" s="138">
        <f>IF(OR(ISNUMBER(F148),ISNUMBER(G148)),IF(ISBLANK(G148),"Kỹ sư/Thầu phụ cần bóc tách KL bản vẽ",IF(H148&gt;=0,"Được đặt hàng tối đa "&amp;G148&amp;" "&amp;E148,"Vượt dự toán "&amp;ABS(H148)&amp;" "&amp;E148&amp;" (QS giải trình &amp; duyệt sửa BOQ)")),"")</f>
        <v/>
      </c>
    </row>
    <row r="149" ht="15.6" customHeight="1" s="75">
      <c r="A149" s="58" t="inlineStr">
        <is>
          <t>DHKK-A.II.2.22</t>
        </is>
      </c>
      <c r="B149" s="139" t="n"/>
      <c r="C149" s="99" t="inlineStr">
        <is>
          <t>NRD 1200x500</t>
        </is>
      </c>
      <c r="D149" s="61" t="inlineStr">
        <is>
          <t>Cái</t>
        </is>
      </c>
      <c r="E149" s="61" t="inlineStr">
        <is>
          <t>Cái</t>
        </is>
      </c>
      <c r="F149" s="88" t="n">
        <v>0</v>
      </c>
      <c r="G149" s="85" t="n"/>
      <c r="H149" s="44">
        <f>IF(OR(ISNUMBER(F149),ISNUMBER(G149)),N(F149)-N(G149),"")</f>
        <v/>
      </c>
      <c r="I149" s="142" t="inlineStr">
        <is>
          <t>EI60</t>
        </is>
      </c>
      <c r="J149" s="117">
        <f>IF(OR(ISNUMBER(F149),ISNUMBER(G149)),IF(ISBLANK(G149),"⚠️ Chưa bóc tách định mức",IF(H149&gt;=0,"✅ OK - Cho phép đặt hàng","❌ CHẶN ĐẶT HÀNG - CẦN BẢO VỆ KL")),"")</f>
        <v/>
      </c>
      <c r="K149" s="138">
        <f>IF(OR(ISNUMBER(F149),ISNUMBER(G149)),IF(ISBLANK(G149),"Kỹ sư/Thầu phụ cần bóc tách KL bản vẽ",IF(H149&gt;=0,"Được đặt hàng tối đa "&amp;G149&amp;" "&amp;E149,"Vượt dự toán "&amp;ABS(H149)&amp;" "&amp;E149&amp;" (QS giải trình &amp; duyệt sửa BOQ)")),"")</f>
        <v/>
      </c>
    </row>
    <row r="150" ht="15.6" customHeight="1" s="75">
      <c r="A150" s="58" t="inlineStr">
        <is>
          <t>DHKK-A.II.2.23</t>
        </is>
      </c>
      <c r="B150" s="139" t="n"/>
      <c r="C150" s="99" t="inlineStr">
        <is>
          <t>NRD 1600x500</t>
        </is>
      </c>
      <c r="D150" s="61" t="inlineStr">
        <is>
          <t>Cái</t>
        </is>
      </c>
      <c r="E150" s="61" t="inlineStr">
        <is>
          <t>Cái</t>
        </is>
      </c>
      <c r="F150" s="88" t="n">
        <v>0</v>
      </c>
      <c r="G150" s="85" t="n"/>
      <c r="H150" s="44">
        <f>IF(OR(ISNUMBER(F150),ISNUMBER(G150)),N(F150)-N(G150),"")</f>
        <v/>
      </c>
      <c r="I150" s="142" t="inlineStr">
        <is>
          <t>EI60</t>
        </is>
      </c>
      <c r="J150" s="117">
        <f>IF(OR(ISNUMBER(F150),ISNUMBER(G150)),IF(ISBLANK(G150),"⚠️ Chưa bóc tách định mức",IF(H150&gt;=0,"✅ OK - Cho phép đặt hàng","❌ CHẶN ĐẶT HÀNG - CẦN BẢO VỆ KL")),"")</f>
        <v/>
      </c>
      <c r="K150" s="138">
        <f>IF(OR(ISNUMBER(F150),ISNUMBER(G150)),IF(ISBLANK(G150),"Kỹ sư/Thầu phụ cần bóc tách KL bản vẽ",IF(H150&gt;=0,"Được đặt hàng tối đa "&amp;G150&amp;" "&amp;E150,"Vượt dự toán "&amp;ABS(H150)&amp;" "&amp;E150&amp;" (QS giải trình &amp; duyệt sửa BOQ)")),"")</f>
        <v/>
      </c>
    </row>
    <row r="151" ht="15.6" customHeight="1" s="75">
      <c r="A151" s="58" t="inlineStr">
        <is>
          <t>DHKK-A.II.2.24</t>
        </is>
      </c>
      <c r="B151" s="139" t="n"/>
      <c r="C151" s="99" t="inlineStr">
        <is>
          <t>NRD 1600x600</t>
        </is>
      </c>
      <c r="D151" s="61" t="inlineStr">
        <is>
          <t>Cái</t>
        </is>
      </c>
      <c r="E151" s="61" t="inlineStr">
        <is>
          <t>Cái</t>
        </is>
      </c>
      <c r="F151" s="88" t="n">
        <v>0</v>
      </c>
      <c r="G151" s="85" t="n"/>
      <c r="H151" s="44">
        <f>IF(OR(ISNUMBER(F151),ISNUMBER(G151)),N(F151)-N(G151),"")</f>
        <v/>
      </c>
      <c r="I151" s="142" t="inlineStr">
        <is>
          <t>EI60</t>
        </is>
      </c>
      <c r="J151" s="117">
        <f>IF(OR(ISNUMBER(F151),ISNUMBER(G151)),IF(ISBLANK(G151),"⚠️ Chưa bóc tách định mức",IF(H151&gt;=0,"✅ OK - Cho phép đặt hàng","❌ CHẶN ĐẶT HÀNG - CẦN BẢO VỆ KL")),"")</f>
        <v/>
      </c>
      <c r="K151" s="138">
        <f>IF(OR(ISNUMBER(F151),ISNUMBER(G151)),IF(ISBLANK(G151),"Kỹ sư/Thầu phụ cần bóc tách KL bản vẽ",IF(H151&gt;=0,"Được đặt hàng tối đa "&amp;G151&amp;" "&amp;E151,"Vượt dự toán "&amp;ABS(H151)&amp;" "&amp;E151&amp;" (QS giải trình &amp; duyệt sửa BOQ)")),"")</f>
        <v/>
      </c>
    </row>
    <row r="152" ht="15.6" customHeight="1" s="75">
      <c r="A152" s="58" t="inlineStr">
        <is>
          <t>DHKK-A.II.2.25</t>
        </is>
      </c>
      <c r="B152" s="139" t="n"/>
      <c r="C152" s="100" t="inlineStr">
        <is>
          <t>NRD 1400x500</t>
        </is>
      </c>
      <c r="D152" s="61" t="inlineStr">
        <is>
          <t>Cái</t>
        </is>
      </c>
      <c r="E152" s="61" t="inlineStr">
        <is>
          <t>Cái</t>
        </is>
      </c>
      <c r="F152" s="88" t="n">
        <v>0</v>
      </c>
      <c r="G152" s="85" t="n"/>
      <c r="H152" s="44">
        <f>IF(OR(ISNUMBER(F152),ISNUMBER(G152)),N(F152)-N(G152),"")</f>
        <v/>
      </c>
      <c r="I152" s="142" t="inlineStr">
        <is>
          <t>EI60</t>
        </is>
      </c>
      <c r="J152" s="117">
        <f>IF(OR(ISNUMBER(F152),ISNUMBER(G152)),IF(ISBLANK(G152),"⚠️ Chưa bóc tách định mức",IF(H152&gt;=0,"✅ OK - Cho phép đặt hàng","❌ CHẶN ĐẶT HÀNG - CẦN BẢO VỆ KL")),"")</f>
        <v/>
      </c>
      <c r="K152" s="138">
        <f>IF(OR(ISNUMBER(F152),ISNUMBER(G152)),IF(ISBLANK(G152),"Kỹ sư/Thầu phụ cần bóc tách KL bản vẽ",IF(H152&gt;=0,"Được đặt hàng tối đa "&amp;G152&amp;" "&amp;E152,"Vượt dự toán "&amp;ABS(H152)&amp;" "&amp;E152&amp;" (QS giải trình &amp; duyệt sửa BOQ)")),"")</f>
        <v/>
      </c>
    </row>
    <row r="153" ht="15.6" customHeight="1" s="75">
      <c r="A153" s="58" t="inlineStr">
        <is>
          <t>DHKK-A.II.2.26</t>
        </is>
      </c>
      <c r="B153" s="139" t="n"/>
      <c r="C153" s="100" t="inlineStr">
        <is>
          <t>NRD 1400x600</t>
        </is>
      </c>
      <c r="D153" s="61" t="inlineStr">
        <is>
          <t>Cái</t>
        </is>
      </c>
      <c r="E153" s="61" t="inlineStr">
        <is>
          <t>Cái</t>
        </is>
      </c>
      <c r="F153" s="88" t="n">
        <v>2</v>
      </c>
      <c r="G153" s="85" t="n"/>
      <c r="H153" s="42">
        <f>IF(OR(ISNUMBER(F153),ISNUMBER(G153)),N(F153)-N(G153),"")</f>
        <v/>
      </c>
      <c r="I153" s="142" t="inlineStr">
        <is>
          <t>EI60</t>
        </is>
      </c>
      <c r="J153" s="117">
        <f>IF(OR(ISNUMBER(F153),ISNUMBER(G153)),IF(ISBLANK(G153),"⚠️ Chưa bóc tách định mức",IF(H153&gt;=0,"✅ OK - Cho phép đặt hàng","❌ CHẶN ĐẶT HÀNG - CẦN BẢO VỆ KL")),"")</f>
        <v/>
      </c>
      <c r="K153" s="138">
        <f>IF(OR(ISNUMBER(F153),ISNUMBER(G153)),IF(ISBLANK(G153),"Kỹ sư/Thầu phụ cần bóc tách KL bản vẽ",IF(H153&gt;=0,"Được đặt hàng tối đa "&amp;G153&amp;" "&amp;E153,"Vượt dự toán "&amp;ABS(H153)&amp;" "&amp;E153&amp;" (QS giải trình &amp; duyệt sửa BOQ)")),"")</f>
        <v/>
      </c>
    </row>
    <row r="154" ht="15.6" customHeight="1" s="75">
      <c r="A154" s="58" t="inlineStr">
        <is>
          <t>DHKK-A.II.2.27</t>
        </is>
      </c>
      <c r="B154" s="24" t="n"/>
      <c r="C154" s="99" t="inlineStr">
        <is>
          <t>PRD 1200x500</t>
        </is>
      </c>
      <c r="D154" s="61" t="inlineStr">
        <is>
          <t>Cái</t>
        </is>
      </c>
      <c r="E154" s="61" t="inlineStr">
        <is>
          <t>Cái</t>
        </is>
      </c>
      <c r="F154" s="88" t="n">
        <v>6</v>
      </c>
      <c r="G154" s="85" t="n"/>
      <c r="H154" s="42">
        <f>IF(OR(ISNUMBER(F154),ISNUMBER(G154)),N(F154)-N(G154),"")</f>
        <v/>
      </c>
      <c r="I154" s="137" t="n"/>
      <c r="J154" s="117">
        <f>IF(OR(ISNUMBER(F154),ISNUMBER(G154)),IF(ISBLANK(G154),"⚠️ Chưa bóc tách định mức",IF(H154&gt;=0,"✅ OK - Cho phép đặt hàng","❌ CHẶN ĐẶT HÀNG - CẦN BẢO VỆ KL")),"")</f>
        <v/>
      </c>
      <c r="K154" s="138">
        <f>IF(OR(ISNUMBER(F154),ISNUMBER(G154)),IF(ISBLANK(G154),"Kỹ sư/Thầu phụ cần bóc tách KL bản vẽ",IF(H154&gt;=0,"Được đặt hàng tối đa "&amp;G154&amp;" "&amp;E154,"Vượt dự toán "&amp;ABS(H154)&amp;" "&amp;E154&amp;" (QS giải trình &amp; duyệt sửa BOQ)")),"")</f>
        <v/>
      </c>
    </row>
    <row r="155" ht="15.6" customHeight="1" s="75">
      <c r="A155" s="58" t="inlineStr">
        <is>
          <t>DHKK-A.II.2.28</t>
        </is>
      </c>
      <c r="B155" s="139" t="n"/>
      <c r="C155" s="101" t="n"/>
      <c r="D155" s="24" t="n"/>
      <c r="E155" s="24" t="n"/>
      <c r="F155" s="85" t="n"/>
      <c r="G155" s="85" t="n"/>
      <c r="H155" s="44" t="n"/>
      <c r="I155" s="137" t="n"/>
    </row>
    <row r="156" ht="14.1" customHeight="1" s="75">
      <c r="A156" s="80" t="n"/>
      <c r="B156" s="37" t="n">
        <v>3</v>
      </c>
      <c r="C156" s="98" t="inlineStr">
        <is>
          <t>Ống gió</t>
        </is>
      </c>
      <c r="D156" s="24" t="n"/>
      <c r="E156" s="24" t="n"/>
      <c r="F156" s="85" t="n"/>
      <c r="G156" s="85" t="n"/>
      <c r="H156" s="44" t="n"/>
      <c r="I156" s="137" t="n"/>
    </row>
    <row r="157" ht="15.6" customHeight="1" s="75">
      <c r="A157" s="58" t="inlineStr">
        <is>
          <t>DHKK-A.II.3.1</t>
        </is>
      </c>
      <c r="B157" s="139" t="n"/>
      <c r="C157" s="99" t="inlineStr">
        <is>
          <t>Ống gió tole mạ kẽm dày 0.75mm, chống cháy EI60</t>
        </is>
      </c>
      <c r="D157" s="61" t="inlineStr">
        <is>
          <t>m2</t>
        </is>
      </c>
      <c r="E157" s="61" t="inlineStr">
        <is>
          <t>m2</t>
        </is>
      </c>
      <c r="F157" s="88" t="n">
        <v>603</v>
      </c>
      <c r="G157" s="85" t="n"/>
      <c r="H157" s="42">
        <f>IF(OR(ISNUMBER(F157),ISNUMBER(G157)),N(F157)-N(G157),"")</f>
        <v/>
      </c>
      <c r="I157" s="137" t="n"/>
      <c r="J157" s="117">
        <f>IF(OR(ISNUMBER(F157),ISNUMBER(G157)),IF(ISBLANK(G157),"⚠️ Chưa bóc tách định mức",IF(H157&gt;=0,"✅ OK - Cho phép đặt hàng","❌ CHẶN ĐẶT HÀNG - CẦN BẢO VỆ KL")),"")</f>
        <v/>
      </c>
      <c r="K157" s="138">
        <f>IF(OR(ISNUMBER(F157),ISNUMBER(G157)),IF(ISBLANK(G157),"Kỹ sư/Thầu phụ cần bóc tách KL bản vẽ",IF(H157&gt;=0,"Được đặt hàng tối đa "&amp;G157&amp;" "&amp;E157,"Vượt dự toán "&amp;ABS(H157)&amp;" "&amp;E157&amp;" (QS giải trình &amp; duyệt sửa BOQ)")),"")</f>
        <v/>
      </c>
    </row>
    <row r="158" ht="13.8" customHeight="1" s="75">
      <c r="A158" s="80" t="n"/>
      <c r="B158" s="139" t="n"/>
      <c r="C158" s="101" t="n"/>
      <c r="D158" s="24" t="n"/>
      <c r="E158" s="24" t="n"/>
      <c r="F158" s="85" t="n"/>
      <c r="G158" s="85" t="n"/>
      <c r="H158" s="44" t="n"/>
      <c r="I158" s="137" t="n"/>
    </row>
    <row r="159" ht="14.1" customHeight="1" s="75">
      <c r="A159" s="80" t="n"/>
      <c r="B159" s="37" t="n">
        <v>4</v>
      </c>
      <c r="C159" s="98" t="inlineStr">
        <is>
          <t>Phần điều khiển</t>
        </is>
      </c>
      <c r="D159" s="24" t="n"/>
      <c r="E159" s="24" t="n"/>
      <c r="F159" s="85" t="n"/>
      <c r="G159" s="85" t="n"/>
      <c r="H159" s="44" t="n"/>
      <c r="I159" s="137" t="n"/>
    </row>
    <row r="160" ht="15.6" customHeight="1" s="75">
      <c r="A160" s="58" t="inlineStr">
        <is>
          <t>DHKK-A.II.4.1</t>
        </is>
      </c>
      <c r="B160" s="139" t="n"/>
      <c r="C160" s="99" t="inlineStr">
        <is>
          <t>Cảm biến khói</t>
        </is>
      </c>
      <c r="D160" s="61" t="inlineStr">
        <is>
          <t>Bộ</t>
        </is>
      </c>
      <c r="E160" s="61" t="inlineStr">
        <is>
          <t>Bộ</t>
        </is>
      </c>
      <c r="F160" s="88" t="n">
        <v>3</v>
      </c>
      <c r="G160" s="85" t="n"/>
      <c r="H160" s="42">
        <f>IF(OR(ISNUMBER(F160),ISNUMBER(G160)),N(F160)-N(G160),"")</f>
        <v/>
      </c>
      <c r="I160" s="137" t="n"/>
      <c r="J160" s="117">
        <f>IF(OR(ISNUMBER(F160),ISNUMBER(G160)),IF(ISBLANK(G160),"⚠️ Chưa bóc tách định mức",IF(H160&gt;=0,"✅ OK - Cho phép đặt hàng","❌ CHẶN ĐẶT HÀNG - CẦN BẢO VỆ KL")),"")</f>
        <v/>
      </c>
      <c r="K160" s="138">
        <f>IF(OR(ISNUMBER(F160),ISNUMBER(G160)),IF(ISBLANK(G160),"Kỹ sư/Thầu phụ cần bóc tách KL bản vẽ",IF(H160&gt;=0,"Được đặt hàng tối đa "&amp;G160&amp;" "&amp;E160,"Vượt dự toán "&amp;ABS(H160)&amp;" "&amp;E160&amp;" (QS giải trình &amp; duyệt sửa BOQ)")),"")</f>
        <v/>
      </c>
    </row>
    <row r="161" ht="15.6" customHeight="1" s="75">
      <c r="A161" s="58" t="inlineStr">
        <is>
          <t>DHKK-A.II.4.2</t>
        </is>
      </c>
      <c r="B161" s="139" t="n"/>
      <c r="C161" s="99" t="inlineStr">
        <is>
          <t>Cảm biến chênh áp</t>
        </is>
      </c>
      <c r="D161" s="61" t="inlineStr">
        <is>
          <t>Bộ</t>
        </is>
      </c>
      <c r="E161" s="61" t="inlineStr">
        <is>
          <t>Bộ</t>
        </is>
      </c>
      <c r="F161" s="88" t="n">
        <v>14</v>
      </c>
      <c r="G161" s="85" t="n"/>
      <c r="H161" s="42">
        <f>IF(OR(ISNUMBER(F161),ISNUMBER(G161)),N(F161)-N(G161),"")</f>
        <v/>
      </c>
      <c r="I161" s="137" t="n"/>
      <c r="J161" s="117">
        <f>IF(OR(ISNUMBER(F161),ISNUMBER(G161)),IF(ISBLANK(G161),"⚠️ Chưa bóc tách định mức",IF(H161&gt;=0,"✅ OK - Cho phép đặt hàng","❌ CHẶN ĐẶT HÀNG - CẦN BẢO VỆ KL")),"")</f>
        <v/>
      </c>
      <c r="K161" s="138">
        <f>IF(OR(ISNUMBER(F161),ISNUMBER(G161)),IF(ISBLANK(G161),"Kỹ sư/Thầu phụ cần bóc tách KL bản vẽ",IF(H161&gt;=0,"Được đặt hàng tối đa "&amp;G161&amp;" "&amp;E161,"Vượt dự toán "&amp;ABS(H161)&amp;" "&amp;E161&amp;" (QS giải trình &amp; duyệt sửa BOQ)")),"")</f>
        <v/>
      </c>
    </row>
    <row r="162" ht="15.6" customHeight="1" s="75">
      <c r="A162" s="58" t="inlineStr">
        <is>
          <t>DHKK-A.II.4.3</t>
        </is>
      </c>
      <c r="B162" s="24" t="n"/>
      <c r="C162" s="99" t="inlineStr">
        <is>
          <t>3x1Cx2.5 mm2 CV-FR</t>
        </is>
      </c>
      <c r="D162" s="61" t="inlineStr">
        <is>
          <t>m</t>
        </is>
      </c>
      <c r="E162" s="61" t="inlineStr">
        <is>
          <t>m</t>
        </is>
      </c>
      <c r="F162" s="88" t="n">
        <v>722</v>
      </c>
      <c r="G162" s="85" t="n"/>
      <c r="H162" s="42">
        <f>IF(OR(ISNUMBER(F162),ISNUMBER(G162)),N(F162)-N(G162),"")</f>
        <v/>
      </c>
      <c r="I162" s="137" t="n"/>
      <c r="J162" s="117">
        <f>IF(OR(ISNUMBER(F162),ISNUMBER(G162)),IF(ISBLANK(G162),"⚠️ Chưa bóc tách định mức",IF(H162&gt;=0,"✅ OK - Cho phép đặt hàng","❌ CHẶN ĐẶT HÀNG - CẦN BẢO VỆ KL")),"")</f>
        <v/>
      </c>
      <c r="K162" s="138">
        <f>IF(OR(ISNUMBER(F162),ISNUMBER(G162)),IF(ISBLANK(G162),"Kỹ sư/Thầu phụ cần bóc tách KL bản vẽ",IF(H162&gt;=0,"Được đặt hàng tối đa "&amp;G162&amp;" "&amp;E162,"Vượt dự toán "&amp;ABS(H162)&amp;" "&amp;E162&amp;" (QS giải trình &amp; duyệt sửa BOQ)")),"")</f>
        <v/>
      </c>
    </row>
    <row r="163" ht="15.6" customHeight="1" s="75">
      <c r="A163" s="58" t="inlineStr">
        <is>
          <t>DHKK-A.II.4.4</t>
        </is>
      </c>
      <c r="B163" s="24" t="n"/>
      <c r="C163" s="145" t="inlineStr">
        <is>
          <t>4C-1.5mm² Cu/PVC/FR</t>
        </is>
      </c>
      <c r="D163" s="61" t="inlineStr">
        <is>
          <t>m</t>
        </is>
      </c>
      <c r="E163" s="61" t="inlineStr">
        <is>
          <t>m</t>
        </is>
      </c>
      <c r="F163" s="88" t="n">
        <v>879</v>
      </c>
      <c r="G163" s="85" t="n"/>
      <c r="H163" s="42">
        <f>IF(OR(ISNUMBER(F163),ISNUMBER(G163)),N(F163)-N(G163),"")</f>
        <v/>
      </c>
      <c r="I163" s="137" t="n"/>
      <c r="J163" s="117">
        <f>IF(OR(ISNUMBER(F163),ISNUMBER(G163)),IF(ISBLANK(G163),"⚠️ Chưa bóc tách định mức",IF(H163&gt;=0,"✅ OK - Cho phép đặt hàng","❌ CHẶN ĐẶT HÀNG - CẦN BẢO VỆ KL")),"")</f>
        <v/>
      </c>
      <c r="K163" s="138">
        <f>IF(OR(ISNUMBER(F163),ISNUMBER(G163)),IF(ISBLANK(G163),"Kỹ sư/Thầu phụ cần bóc tách KL bản vẽ",IF(H163&gt;=0,"Được đặt hàng tối đa "&amp;G163&amp;" "&amp;E163,"Vượt dự toán "&amp;ABS(H163)&amp;" "&amp;E163&amp;" (QS giải trình &amp; duyệt sửa BOQ)")),"")</f>
        <v/>
      </c>
    </row>
    <row r="164" ht="15.6" customHeight="1" s="75">
      <c r="A164" s="58" t="inlineStr">
        <is>
          <t>DHKK-A.II.4.5</t>
        </is>
      </c>
      <c r="B164" s="139" t="n"/>
      <c r="C164" s="99" t="inlineStr">
        <is>
          <t>Tủ điều khiển DDC</t>
        </is>
      </c>
      <c r="D164" s="61" t="inlineStr">
        <is>
          <t>Bộ</t>
        </is>
      </c>
      <c r="E164" s="61" t="inlineStr">
        <is>
          <t>Bộ</t>
        </is>
      </c>
      <c r="F164" s="88" t="n">
        <v>4</v>
      </c>
      <c r="G164" s="85" t="n"/>
      <c r="H164" s="42">
        <f>IF(OR(ISNUMBER(F164),ISNUMBER(G164)),N(F164)-N(G164),"")</f>
        <v/>
      </c>
      <c r="I164" s="137" t="n"/>
      <c r="J164" s="117">
        <f>IF(OR(ISNUMBER(F164),ISNUMBER(G164)),IF(ISBLANK(G164),"⚠️ Chưa bóc tách định mức",IF(H164&gt;=0,"✅ OK - Cho phép đặt hàng","❌ CHẶN ĐẶT HÀNG - CẦN BẢO VỆ KL")),"")</f>
        <v/>
      </c>
      <c r="K164" s="138">
        <f>IF(OR(ISNUMBER(F164),ISNUMBER(G164)),IF(ISBLANK(G164),"Kỹ sư/Thầu phụ cần bóc tách KL bản vẽ",IF(H164&gt;=0,"Được đặt hàng tối đa "&amp;G164&amp;" "&amp;E164,"Vượt dự toán "&amp;ABS(H164)&amp;" "&amp;E164&amp;" (QS giải trình &amp; duyệt sửa BOQ)")),"")</f>
        <v/>
      </c>
    </row>
    <row r="165" ht="15.6" customHeight="1" s="75">
      <c r="A165" s="58" t="inlineStr">
        <is>
          <t>DHKK-A.II.4.6</t>
        </is>
      </c>
      <c r="B165" s="139" t="n"/>
      <c r="C165" s="101" t="n"/>
      <c r="D165" s="24" t="n"/>
      <c r="E165" s="24" t="n"/>
      <c r="F165" s="85" t="n"/>
      <c r="G165" s="85" t="n"/>
      <c r="H165" s="44" t="n"/>
      <c r="I165" s="137" t="n"/>
    </row>
    <row r="166" ht="28.8" customHeight="1" s="75">
      <c r="A166" s="58" t="inlineStr">
        <is>
          <t>DHKK-A.III</t>
        </is>
      </c>
      <c r="B166" s="33" t="inlineStr">
        <is>
          <t>III</t>
        </is>
      </c>
      <c r="C166" s="97" t="inlineStr">
        <is>
          <t>HỆ THỐNG ĐIỀU HÒA THÔNG GIÓ PHÒNG KỸ THUẬT</t>
        </is>
      </c>
      <c r="D166" s="34" t="n"/>
      <c r="E166" s="34" t="n"/>
      <c r="F166" s="87" t="n"/>
      <c r="G166" s="87" t="n"/>
      <c r="H166" s="35" t="n"/>
      <c r="I166" s="144" t="n"/>
    </row>
    <row r="167" ht="15.6" customHeight="1" s="75">
      <c r="A167" s="58" t="inlineStr">
        <is>
          <t>DHKK-A.III.1</t>
        </is>
      </c>
      <c r="B167" s="37" t="n">
        <v>1</v>
      </c>
      <c r="C167" s="146" t="inlineStr">
        <is>
          <t>Thiết bị máy lạnh</t>
        </is>
      </c>
      <c r="D167" s="147" t="n"/>
      <c r="E167" s="147" t="n"/>
      <c r="F167" s="85" t="n"/>
      <c r="G167" s="85" t="n"/>
      <c r="H167" s="44" t="n"/>
      <c r="I167" s="137" t="n"/>
    </row>
    <row r="168" ht="28.5" customHeight="1" s="75">
      <c r="A168" s="58" t="inlineStr">
        <is>
          <t>DHKK-A.III.1.1</t>
        </is>
      </c>
      <c r="B168" s="139" t="n"/>
      <c r="C168" s="99" t="inlineStr">
        <is>
          <t>Máy lạnh cục bộ, dàn lạnh loại cassette ODU/IDU-B1-01~05, công suất lạnh: 5.0 Kw.</t>
        </is>
      </c>
      <c r="D168" s="61" t="inlineStr">
        <is>
          <t>Bộ</t>
        </is>
      </c>
      <c r="E168" s="61" t="inlineStr">
        <is>
          <t>Bộ</t>
        </is>
      </c>
      <c r="F168" s="88" t="n">
        <v>0</v>
      </c>
      <c r="G168" s="85" t="n"/>
      <c r="H168" s="44">
        <f>IF(OR(ISNUMBER(F168),ISNUMBER(G168)),N(F168)-N(G168),"")</f>
        <v/>
      </c>
      <c r="I168" s="142" t="inlineStr">
        <is>
          <t>Không bao gồm máy lạnh cho sảnh thang máy hầm</t>
        </is>
      </c>
      <c r="J168" s="117">
        <f>IF(OR(ISNUMBER(F168),ISNUMBER(G168)),IF(ISBLANK(G168),"⚠️ Chưa bóc tách định mức",IF(H168&gt;=0,"✅ OK - Cho phép đặt hàng","❌ CHẶN ĐẶT HÀNG - CẦN BẢO VỆ KL")),"")</f>
        <v/>
      </c>
      <c r="K168" s="138">
        <f>IF(OR(ISNUMBER(F168),ISNUMBER(G168)),IF(ISBLANK(G168),"Kỹ sư/Thầu phụ cần bóc tách KL bản vẽ",IF(H168&gt;=0,"Được đặt hàng tối đa "&amp;G168&amp;" "&amp;E168,"Vượt dự toán "&amp;ABS(H168)&amp;" "&amp;E168&amp;" (QS giải trình &amp; duyệt sửa BOQ)")),"")</f>
        <v/>
      </c>
    </row>
    <row r="169" ht="28.5" customHeight="1" s="75">
      <c r="A169" s="58" t="inlineStr">
        <is>
          <t>DHKK-A.III.1.2</t>
        </is>
      </c>
      <c r="B169" s="139" t="n"/>
      <c r="C169" s="99" t="inlineStr">
        <is>
          <t>Máy lạnh cục bộ, dàn lạnh loại gắn tường ODU/IDU-B1-06,07 công suất lạnh: 5.0 Kw.</t>
        </is>
      </c>
      <c r="D169" s="61" t="inlineStr">
        <is>
          <t>Bộ</t>
        </is>
      </c>
      <c r="E169" s="61" t="inlineStr">
        <is>
          <t>Bộ</t>
        </is>
      </c>
      <c r="F169" s="88" t="n">
        <v>2</v>
      </c>
      <c r="G169" s="85" t="n"/>
      <c r="H169" s="42">
        <f>IF(OR(ISNUMBER(F169),ISNUMBER(G169)),N(F169)-N(G169),"")</f>
        <v/>
      </c>
      <c r="I169" s="137" t="n"/>
      <c r="J169" s="117">
        <f>IF(OR(ISNUMBER(F169),ISNUMBER(G169)),IF(ISBLANK(G169),"⚠️ Chưa bóc tách định mức",IF(H169&gt;=0,"✅ OK - Cho phép đặt hàng","❌ CHẶN ĐẶT HÀNG - CẦN BẢO VỆ KL")),"")</f>
        <v/>
      </c>
      <c r="K169" s="138">
        <f>IF(OR(ISNUMBER(F169),ISNUMBER(G169)),IF(ISBLANK(G169),"Kỹ sư/Thầu phụ cần bóc tách KL bản vẽ",IF(H169&gt;=0,"Được đặt hàng tối đa "&amp;G169&amp;" "&amp;E169,"Vượt dự toán "&amp;ABS(H169)&amp;" "&amp;E169&amp;" (QS giải trình &amp; duyệt sửa BOQ)")),"")</f>
        <v/>
      </c>
    </row>
    <row r="170" ht="28.5" customHeight="1" s="75">
      <c r="A170" s="58" t="inlineStr">
        <is>
          <t>DHKK-A.III.1.3</t>
        </is>
      </c>
      <c r="B170" s="24" t="n"/>
      <c r="C170" s="99" t="inlineStr">
        <is>
          <t>Máy lạnh cục bộ, dàn lạnh loại gắn tường ODU/IDU-B1-06,07,08 công suất lạnh: 7.1 Kw.</t>
        </is>
      </c>
      <c r="D170" s="61" t="inlineStr">
        <is>
          <t>Bộ</t>
        </is>
      </c>
      <c r="E170" s="61" t="inlineStr">
        <is>
          <t>Bộ</t>
        </is>
      </c>
      <c r="F170" s="88" t="n">
        <v>0</v>
      </c>
      <c r="G170" s="85" t="n"/>
      <c r="H170" s="44">
        <f>IF(OR(ISNUMBER(F170),ISNUMBER(G170)),N(F170)-N(G170),"")</f>
        <v/>
      </c>
      <c r="I170" s="137" t="n"/>
      <c r="J170" s="117">
        <f>IF(OR(ISNUMBER(F170),ISNUMBER(G170)),IF(ISBLANK(G170),"⚠️ Chưa bóc tách định mức",IF(H170&gt;=0,"✅ OK - Cho phép đặt hàng","❌ CHẶN ĐẶT HÀNG - CẦN BẢO VỆ KL")),"")</f>
        <v/>
      </c>
      <c r="K170" s="138">
        <f>IF(OR(ISNUMBER(F170),ISNUMBER(G170)),IF(ISBLANK(G170),"Kỹ sư/Thầu phụ cần bóc tách KL bản vẽ",IF(H170&gt;=0,"Được đặt hàng tối đa "&amp;G170&amp;" "&amp;E170,"Vượt dự toán "&amp;ABS(H170)&amp;" "&amp;E170&amp;" (QS giải trình &amp; duyệt sửa BOQ)")),"")</f>
        <v/>
      </c>
    </row>
    <row r="171" ht="28.5" customHeight="1" s="75">
      <c r="A171" s="58" t="inlineStr">
        <is>
          <t>DHKK-A.III.1.4</t>
        </is>
      </c>
      <c r="B171" s="139" t="n"/>
      <c r="C171" s="99" t="inlineStr">
        <is>
          <t>Máy lạnh cục bộ, dàn lạnh loại cassette ODU/IDU-B1-01~04, công suất lạnh: 5.0 Kw.</t>
        </is>
      </c>
      <c r="D171" s="61" t="inlineStr">
        <is>
          <t>Bộ</t>
        </is>
      </c>
      <c r="E171" s="61" t="inlineStr">
        <is>
          <t>Bộ</t>
        </is>
      </c>
      <c r="F171" s="88" t="n">
        <v>0</v>
      </c>
      <c r="G171" s="85" t="n"/>
      <c r="H171" s="44">
        <f>IF(OR(ISNUMBER(F171),ISNUMBER(G171)),N(F171)-N(G171),"")</f>
        <v/>
      </c>
      <c r="I171" s="142" t="inlineStr">
        <is>
          <t>Không bao gồm máy lạnh cho sảnh thang máy hầm</t>
        </is>
      </c>
      <c r="J171" s="117">
        <f>IF(OR(ISNUMBER(F171),ISNUMBER(G171)),IF(ISBLANK(G171),"⚠️ Chưa bóc tách định mức",IF(H171&gt;=0,"✅ OK - Cho phép đặt hàng","❌ CHẶN ĐẶT HÀNG - CẦN BẢO VỆ KL")),"")</f>
        <v/>
      </c>
      <c r="K171" s="138">
        <f>IF(OR(ISNUMBER(F171),ISNUMBER(G171)),IF(ISBLANK(G171),"Kỹ sư/Thầu phụ cần bóc tách KL bản vẽ",IF(H171&gt;=0,"Được đặt hàng tối đa "&amp;G171&amp;" "&amp;E171,"Vượt dự toán "&amp;ABS(H171)&amp;" "&amp;E171&amp;" (QS giải trình &amp; duyệt sửa BOQ)")),"")</f>
        <v/>
      </c>
    </row>
    <row r="172" ht="15.6" customHeight="1" s="75">
      <c r="A172" s="58" t="inlineStr">
        <is>
          <t>DHKK-A.III.1.5</t>
        </is>
      </c>
      <c r="B172" s="139" t="n"/>
      <c r="C172" s="101" t="n"/>
      <c r="D172" s="24" t="n"/>
      <c r="E172" s="24" t="n"/>
      <c r="F172" s="85" t="n"/>
      <c r="G172" s="85" t="n"/>
      <c r="H172" s="44" t="n"/>
      <c r="I172" s="137" t="n"/>
    </row>
    <row r="173" ht="15.6" customHeight="1" s="75">
      <c r="A173" s="58" t="inlineStr">
        <is>
          <t>DHKK-A.III.2.0</t>
        </is>
      </c>
      <c r="B173" s="37" t="n">
        <v>2</v>
      </c>
      <c r="C173" s="98" t="inlineStr">
        <is>
          <t>Ống đồng và phụ kiện</t>
        </is>
      </c>
      <c r="D173" s="24" t="n"/>
      <c r="E173" s="24" t="n"/>
      <c r="F173" s="85" t="n"/>
      <c r="G173" s="85" t="n"/>
      <c r="H173" s="44" t="n"/>
      <c r="I173" s="137" t="n"/>
    </row>
    <row r="174" ht="15.6" customHeight="1" s="75">
      <c r="A174" s="58" t="inlineStr">
        <is>
          <t>DHKK-A.III.2.1.0</t>
        </is>
      </c>
      <c r="B174" s="148" t="n">
        <v>46024</v>
      </c>
      <c r="C174" s="98" t="inlineStr">
        <is>
          <t>Ống đồng</t>
        </is>
      </c>
      <c r="D174" s="24" t="n"/>
      <c r="E174" s="24" t="n"/>
      <c r="F174" s="85" t="n"/>
      <c r="G174" s="85" t="n"/>
      <c r="H174" s="44" t="n"/>
      <c r="I174" s="137" t="n"/>
    </row>
    <row r="175" ht="15.6" customHeight="1" s="75">
      <c r="A175" s="58" t="inlineStr">
        <is>
          <t>DHKK-A.III.2.1.1</t>
        </is>
      </c>
      <c r="B175" s="139" t="n"/>
      <c r="C175" s="99" t="inlineStr">
        <is>
          <t>Ống đồng Ø9.5 dày 0.81mm</t>
        </is>
      </c>
      <c r="D175" s="61" t="inlineStr">
        <is>
          <t>m</t>
        </is>
      </c>
      <c r="E175" s="61" t="inlineStr">
        <is>
          <t>m</t>
        </is>
      </c>
      <c r="F175" s="88" t="n">
        <v>13</v>
      </c>
      <c r="G175" s="85" t="n"/>
      <c r="H175" s="42">
        <f>IF(OR(ISNUMBER(F175),ISNUMBER(G175)),N(F175)-N(G175),"")</f>
        <v/>
      </c>
      <c r="I175" s="142" t="inlineStr">
        <is>
          <t>Không bao gồm ống đồng cho sảnh thang máy hầm</t>
        </is>
      </c>
      <c r="J175" s="117">
        <f>IF(OR(ISNUMBER(F175),ISNUMBER(G175)),IF(ISBLANK(G175),"⚠️ Chưa bóc tách định mức",IF(H175&gt;=0,"✅ OK - Cho phép đặt hàng","❌ CHẶN ĐẶT HÀNG - CẦN BẢO VỆ KL")),"")</f>
        <v/>
      </c>
      <c r="K175" s="138">
        <f>IF(OR(ISNUMBER(F175),ISNUMBER(G175)),IF(ISBLANK(G175),"Kỹ sư/Thầu phụ cần bóc tách KL bản vẽ",IF(H175&gt;=0,"Được đặt hàng tối đa "&amp;G175&amp;" "&amp;E175,"Vượt dự toán "&amp;ABS(H175)&amp;" "&amp;E175&amp;" (QS giải trình &amp; duyệt sửa BOQ)")),"")</f>
        <v/>
      </c>
    </row>
    <row r="176" ht="15.6" customHeight="1" s="75">
      <c r="A176" s="58" t="inlineStr">
        <is>
          <t>DHKK-A.III.2.1.2</t>
        </is>
      </c>
      <c r="B176" s="139" t="n"/>
      <c r="C176" s="99" t="inlineStr">
        <is>
          <t>Ống đồng Ø15.9 dày 1.02mm</t>
        </is>
      </c>
      <c r="D176" s="61" t="inlineStr">
        <is>
          <t>m</t>
        </is>
      </c>
      <c r="E176" s="61" t="inlineStr">
        <is>
          <t>m</t>
        </is>
      </c>
      <c r="F176" s="88" t="n">
        <v>13</v>
      </c>
      <c r="G176" s="85" t="n"/>
      <c r="H176" s="42">
        <f>IF(OR(ISNUMBER(F176),ISNUMBER(G176)),N(F176)-N(G176),"")</f>
        <v/>
      </c>
      <c r="I176" s="142" t="inlineStr">
        <is>
          <t>Không bao gồm ống đồng cho sảnh thang máy hầm</t>
        </is>
      </c>
      <c r="J176" s="117">
        <f>IF(OR(ISNUMBER(F176),ISNUMBER(G176)),IF(ISBLANK(G176),"⚠️ Chưa bóc tách định mức",IF(H176&gt;=0,"✅ OK - Cho phép đặt hàng","❌ CHẶN ĐẶT HÀNG - CẦN BẢO VỆ KL")),"")</f>
        <v/>
      </c>
      <c r="K176" s="138">
        <f>IF(OR(ISNUMBER(F176),ISNUMBER(G176)),IF(ISBLANK(G176),"Kỹ sư/Thầu phụ cần bóc tách KL bản vẽ",IF(H176&gt;=0,"Được đặt hàng tối đa "&amp;G176&amp;" "&amp;E176,"Vượt dự toán "&amp;ABS(H176)&amp;" "&amp;E176&amp;" (QS giải trình &amp; duyệt sửa BOQ)")),"")</f>
        <v/>
      </c>
    </row>
    <row r="177" ht="13.8" customHeight="1" s="75">
      <c r="A177" s="80" t="n"/>
      <c r="B177" s="139" t="n"/>
      <c r="C177" s="101" t="n"/>
      <c r="D177" s="24" t="n"/>
      <c r="E177" s="24" t="n"/>
      <c r="F177" s="85" t="n"/>
      <c r="G177" s="85" t="n"/>
      <c r="H177" s="44" t="n"/>
      <c r="I177" s="137" t="n"/>
    </row>
    <row r="178" ht="14.1" customHeight="1" s="75">
      <c r="A178" s="80" t="n"/>
      <c r="B178" s="148" t="n">
        <v>46055</v>
      </c>
      <c r="C178" s="98" t="inlineStr">
        <is>
          <t>Cách nhiệt ống đồng</t>
        </is>
      </c>
      <c r="D178" s="24" t="n"/>
      <c r="E178" s="24" t="n"/>
      <c r="F178" s="85" t="n"/>
      <c r="G178" s="85" t="n"/>
      <c r="H178" s="44" t="n"/>
      <c r="I178" s="137" t="n"/>
    </row>
    <row r="179" ht="15.6" customHeight="1" s="75">
      <c r="A179" s="58" t="inlineStr">
        <is>
          <t>DHKK-A.III.2.2.1</t>
        </is>
      </c>
      <c r="B179" s="139" t="n"/>
      <c r="C179" s="99" t="inlineStr">
        <is>
          <t>Bảo ôn ống đồng Ø9.5 dày 13mm</t>
        </is>
      </c>
      <c r="D179" s="61" t="inlineStr">
        <is>
          <t>m</t>
        </is>
      </c>
      <c r="E179" s="61" t="inlineStr">
        <is>
          <t>m</t>
        </is>
      </c>
      <c r="F179" s="88" t="n">
        <v>13</v>
      </c>
      <c r="G179" s="85" t="n"/>
      <c r="H179" s="42">
        <f>IF(OR(ISNUMBER(F179),ISNUMBER(G179)),N(F179)-N(G179),"")</f>
        <v/>
      </c>
      <c r="I179" s="142" t="inlineStr">
        <is>
          <t>Không bao gồm bảo ôn cho sảnh thang máy hầm</t>
        </is>
      </c>
      <c r="J179" s="117">
        <f>IF(OR(ISNUMBER(F179),ISNUMBER(G179)),IF(ISBLANK(G179),"⚠️ Chưa bóc tách định mức",IF(H179&gt;=0,"✅ OK - Cho phép đặt hàng","❌ CHẶN ĐẶT HÀNG - CẦN BẢO VỆ KL")),"")</f>
        <v/>
      </c>
      <c r="K179" s="138">
        <f>IF(OR(ISNUMBER(F179),ISNUMBER(G179)),IF(ISBLANK(G179),"Kỹ sư/Thầu phụ cần bóc tách KL bản vẽ",IF(H179&gt;=0,"Được đặt hàng tối đa "&amp;G179&amp;" "&amp;E179,"Vượt dự toán "&amp;ABS(H179)&amp;" "&amp;E179&amp;" (QS giải trình &amp; duyệt sửa BOQ)")),"")</f>
        <v/>
      </c>
    </row>
    <row r="180" ht="15.6" customHeight="1" s="75">
      <c r="A180" s="58" t="inlineStr">
        <is>
          <t>DHKK-A.III.2.2.2</t>
        </is>
      </c>
      <c r="B180" s="139" t="n"/>
      <c r="C180" s="99" t="inlineStr">
        <is>
          <t>Bảo ôn ống đồng Ø15.9 dày 13mm</t>
        </is>
      </c>
      <c r="D180" s="61" t="inlineStr">
        <is>
          <t>m</t>
        </is>
      </c>
      <c r="E180" s="61" t="inlineStr">
        <is>
          <t>m</t>
        </is>
      </c>
      <c r="F180" s="88" t="n">
        <v>13</v>
      </c>
      <c r="G180" s="85" t="n"/>
      <c r="H180" s="42">
        <f>IF(OR(ISNUMBER(F180),ISNUMBER(G180)),N(F180)-N(G180),"")</f>
        <v/>
      </c>
      <c r="I180" s="142" t="inlineStr">
        <is>
          <t>Không bao gồm bảo ôn cho sảnh thang máy hầm</t>
        </is>
      </c>
      <c r="J180" s="117">
        <f>IF(OR(ISNUMBER(F180),ISNUMBER(G180)),IF(ISBLANK(G180),"⚠️ Chưa bóc tách định mức",IF(H180&gt;=0,"✅ OK - Cho phép đặt hàng","❌ CHẶN ĐẶT HÀNG - CẦN BẢO VỆ KL")),"")</f>
        <v/>
      </c>
      <c r="K180" s="138">
        <f>IF(OR(ISNUMBER(F180),ISNUMBER(G180)),IF(ISBLANK(G180),"Kỹ sư/Thầu phụ cần bóc tách KL bản vẽ",IF(H180&gt;=0,"Được đặt hàng tối đa "&amp;G180&amp;" "&amp;E180,"Vượt dự toán "&amp;ABS(H180)&amp;" "&amp;E180&amp;" (QS giải trình &amp; duyệt sửa BOQ)")),"")</f>
        <v/>
      </c>
    </row>
    <row r="181" ht="13.8" customHeight="1" s="75">
      <c r="A181" s="80" t="n"/>
      <c r="B181" s="139" t="n"/>
      <c r="C181" s="101" t="n"/>
      <c r="D181" s="24" t="n"/>
      <c r="E181" s="24" t="n"/>
      <c r="F181" s="85" t="n"/>
      <c r="G181" s="85" t="n"/>
      <c r="H181" s="44" t="n"/>
      <c r="I181" s="137" t="n"/>
    </row>
    <row r="182" ht="15.6" customHeight="1" s="75">
      <c r="A182" s="58" t="inlineStr">
        <is>
          <t>DHKK-A.III.3.0</t>
        </is>
      </c>
      <c r="B182" s="37" t="n">
        <v>3</v>
      </c>
      <c r="C182" s="98" t="inlineStr">
        <is>
          <t>Ống nước ngưng và phụ kiện</t>
        </is>
      </c>
      <c r="D182" s="24" t="n"/>
      <c r="E182" s="24" t="n"/>
      <c r="F182" s="85" t="n"/>
      <c r="G182" s="85" t="n"/>
      <c r="H182" s="44" t="n"/>
      <c r="I182" s="137" t="n"/>
    </row>
    <row r="183" ht="15.6" customHeight="1" s="75">
      <c r="A183" s="58" t="inlineStr">
        <is>
          <t>DHKK-A.III.3.1.0</t>
        </is>
      </c>
      <c r="B183" s="148" t="n">
        <v>46025</v>
      </c>
      <c r="C183" s="98" t="inlineStr">
        <is>
          <t>Ống nước ngưng</t>
        </is>
      </c>
      <c r="D183" s="24" t="n"/>
      <c r="E183" s="24" t="n"/>
      <c r="F183" s="85" t="n"/>
      <c r="G183" s="85" t="n"/>
      <c r="H183" s="44" t="n"/>
      <c r="I183" s="137" t="n"/>
    </row>
    <row r="184" ht="15.6" customHeight="1" s="75">
      <c r="A184" s="58" t="inlineStr">
        <is>
          <t>DHKK-A.III.3.1.1</t>
        </is>
      </c>
      <c r="B184" s="24" t="n"/>
      <c r="C184" s="99" t="inlineStr">
        <is>
          <t>Ống thoát nước ngưng uPVC Ø27</t>
        </is>
      </c>
      <c r="D184" s="61" t="inlineStr">
        <is>
          <t>m</t>
        </is>
      </c>
      <c r="E184" s="61" t="inlineStr">
        <is>
          <t>m</t>
        </is>
      </c>
      <c r="F184" s="88" t="n">
        <v>8</v>
      </c>
      <c r="G184" s="85" t="n"/>
      <c r="H184" s="42">
        <f>IF(OR(ISNUMBER(F184),ISNUMBER(G184)),N(F184)-N(G184),"")</f>
        <v/>
      </c>
      <c r="I184" s="142" t="inlineStr">
        <is>
          <t>Không bao gồm ống nước ngưng cho sảnh thang máy hầm</t>
        </is>
      </c>
      <c r="J184" s="117">
        <f>IF(OR(ISNUMBER(F184),ISNUMBER(G184)),IF(ISBLANK(G184),"⚠️ Chưa bóc tách định mức",IF(H184&gt;=0,"✅ OK - Cho phép đặt hàng","❌ CHẶN ĐẶT HÀNG - CẦN BẢO VỆ KL")),"")</f>
        <v/>
      </c>
      <c r="K184" s="138">
        <f>IF(OR(ISNUMBER(F184),ISNUMBER(G184)),IF(ISBLANK(G184),"Kỹ sư/Thầu phụ cần bóc tách KL bản vẽ",IF(H184&gt;=0,"Được đặt hàng tối đa "&amp;G184&amp;" "&amp;E184,"Vượt dự toán "&amp;ABS(H184)&amp;" "&amp;E184&amp;" (QS giải trình &amp; duyệt sửa BOQ)")),"")</f>
        <v/>
      </c>
    </row>
    <row r="185" ht="15.6" customHeight="1" s="75">
      <c r="A185" s="58" t="inlineStr">
        <is>
          <t>DHKK-A.III.3.1.2</t>
        </is>
      </c>
      <c r="B185" s="24" t="n"/>
      <c r="C185" s="99" t="inlineStr">
        <is>
          <t>Ống thoát nước ngưng uPVC Ø34</t>
        </is>
      </c>
      <c r="D185" s="61" t="inlineStr">
        <is>
          <t>m</t>
        </is>
      </c>
      <c r="E185" s="61" t="inlineStr">
        <is>
          <t>m</t>
        </is>
      </c>
      <c r="F185" s="88" t="n">
        <v>16</v>
      </c>
      <c r="G185" s="85" t="n"/>
      <c r="H185" s="42">
        <f>IF(OR(ISNUMBER(F185),ISNUMBER(G185)),N(F185)-N(G185),"")</f>
        <v/>
      </c>
      <c r="I185" s="137" t="n"/>
      <c r="J185" s="117">
        <f>IF(OR(ISNUMBER(F185),ISNUMBER(G185)),IF(ISBLANK(G185),"⚠️ Chưa bóc tách định mức",IF(H185&gt;=0,"✅ OK - Cho phép đặt hàng","❌ CHẶN ĐẶT HÀNG - CẦN BẢO VỆ KL")),"")</f>
        <v/>
      </c>
      <c r="K185" s="138">
        <f>IF(OR(ISNUMBER(F185),ISNUMBER(G185)),IF(ISBLANK(G185),"Kỹ sư/Thầu phụ cần bóc tách KL bản vẽ",IF(H185&gt;=0,"Được đặt hàng tối đa "&amp;G185&amp;" "&amp;E185,"Vượt dự toán "&amp;ABS(H185)&amp;" "&amp;E185&amp;" (QS giải trình &amp; duyệt sửa BOQ)")),"")</f>
        <v/>
      </c>
    </row>
    <row r="186" ht="15.6" customHeight="1" s="75">
      <c r="A186" s="58" t="inlineStr">
        <is>
          <t>DHKK-A.III.3.1.3</t>
        </is>
      </c>
      <c r="B186" s="24" t="n"/>
      <c r="C186" s="99" t="inlineStr">
        <is>
          <t>Ống thoát nước ngưng uPVC Ø114</t>
        </is>
      </c>
      <c r="D186" s="61" t="inlineStr">
        <is>
          <t>m</t>
        </is>
      </c>
      <c r="E186" s="61" t="inlineStr">
        <is>
          <t>m</t>
        </is>
      </c>
      <c r="F186" s="88" t="n">
        <v>62</v>
      </c>
      <c r="G186" s="85" t="n"/>
      <c r="H186" s="42">
        <f>IF(OR(ISNUMBER(F186),ISNUMBER(G186)),N(F186)-N(G186),"")</f>
        <v/>
      </c>
      <c r="I186" s="137" t="n"/>
      <c r="J186" s="117">
        <f>IF(OR(ISNUMBER(F186),ISNUMBER(G186)),IF(ISBLANK(G186),"⚠️ Chưa bóc tách định mức",IF(H186&gt;=0,"✅ OK - Cho phép đặt hàng","❌ CHẶN ĐẶT HÀNG - CẦN BẢO VỆ KL")),"")</f>
        <v/>
      </c>
      <c r="K186" s="138">
        <f>IF(OR(ISNUMBER(F186),ISNUMBER(G186)),IF(ISBLANK(G186),"Kỹ sư/Thầu phụ cần bóc tách KL bản vẽ",IF(H186&gt;=0,"Được đặt hàng tối đa "&amp;G186&amp;" "&amp;E186,"Vượt dự toán "&amp;ABS(H186)&amp;" "&amp;E186&amp;" (QS giải trình &amp; duyệt sửa BOQ)")),"")</f>
        <v/>
      </c>
    </row>
    <row r="187" ht="15.6" customHeight="1" s="75">
      <c r="A187" s="58" t="inlineStr">
        <is>
          <t>DHKK-A.III.3.1.4</t>
        </is>
      </c>
      <c r="B187" s="24" t="n"/>
      <c r="C187" s="99" t="inlineStr">
        <is>
          <t>Phụ kiện ống uPVC 1</t>
        </is>
      </c>
      <c r="D187" s="61" t="inlineStr">
        <is>
          <t>Lô</t>
        </is>
      </c>
      <c r="E187" s="61" t="inlineStr">
        <is>
          <t>Lô</t>
        </is>
      </c>
      <c r="F187" s="88" t="n">
        <v>1</v>
      </c>
      <c r="G187" s="85" t="n"/>
      <c r="H187" s="42">
        <f>IF(OR(ISNUMBER(F187),ISNUMBER(G187)),N(F187)-N(G187),"")</f>
        <v/>
      </c>
      <c r="I187" s="137" t="n"/>
      <c r="J187" s="117">
        <f>IF(OR(ISNUMBER(F187),ISNUMBER(G187)),IF(ISBLANK(G187),"⚠️ Chưa bóc tách định mức",IF(H187&gt;=0,"✅ OK - Cho phép đặt hàng","❌ CHẶN ĐẶT HÀNG - CẦN BẢO VỆ KL")),"")</f>
        <v/>
      </c>
      <c r="K187" s="138">
        <f>IF(OR(ISNUMBER(F187),ISNUMBER(G187)),IF(ISBLANK(G187),"Kỹ sư/Thầu phụ cần bóc tách KL bản vẽ",IF(H187&gt;=0,"Được đặt hàng tối đa "&amp;G187&amp;" "&amp;E187,"Vượt dự toán "&amp;ABS(H187)&amp;" "&amp;E187&amp;" (QS giải trình &amp; duyệt sửa BOQ)")),"")</f>
        <v/>
      </c>
    </row>
    <row r="188" ht="15.6" customHeight="1" s="75">
      <c r="A188" s="58" t="inlineStr">
        <is>
          <t>DHKK-A.III.3.1.5</t>
        </is>
      </c>
      <c r="B188" s="24" t="n"/>
      <c r="C188" s="99" t="inlineStr">
        <is>
          <t>Phụ kiện ống uPVC 2</t>
        </is>
      </c>
      <c r="D188" s="61" t="inlineStr">
        <is>
          <t>Lô</t>
        </is>
      </c>
      <c r="E188" s="61" t="inlineStr">
        <is>
          <t>Lô</t>
        </is>
      </c>
      <c r="F188" s="88" t="n">
        <v>0</v>
      </c>
      <c r="G188" s="85" t="n"/>
      <c r="H188" s="44">
        <f>IF(OR(ISNUMBER(F188),ISNUMBER(G188)),N(F188)-N(G188),"")</f>
        <v/>
      </c>
      <c r="I188" s="137" t="n"/>
      <c r="J188" s="117">
        <f>IF(OR(ISNUMBER(F188),ISNUMBER(G188)),IF(ISBLANK(G188),"⚠️ Chưa bóc tách định mức",IF(H188&gt;=0,"✅ OK - Cho phép đặt hàng","❌ CHẶN ĐẶT HÀNG - CẦN BẢO VỆ KL")),"")</f>
        <v/>
      </c>
      <c r="K188" s="138">
        <f>IF(OR(ISNUMBER(F188),ISNUMBER(G188)),IF(ISBLANK(G188),"Kỹ sư/Thầu phụ cần bóc tách KL bản vẽ",IF(H188&gt;=0,"Được đặt hàng tối đa "&amp;G188&amp;" "&amp;E188,"Vượt dự toán "&amp;ABS(H188)&amp;" "&amp;E188&amp;" (QS giải trình &amp; duyệt sửa BOQ)")),"")</f>
        <v/>
      </c>
    </row>
    <row r="189" ht="13.8" customHeight="1" s="75">
      <c r="A189" s="80" t="n"/>
      <c r="B189" s="24" t="n"/>
      <c r="C189" s="101" t="n"/>
      <c r="D189" s="24" t="n"/>
      <c r="E189" s="24" t="n"/>
      <c r="F189" s="85" t="n"/>
      <c r="G189" s="85" t="n"/>
      <c r="H189" s="44" t="n"/>
      <c r="I189" s="137" t="n"/>
    </row>
    <row r="190" ht="15.6" customHeight="1" s="75">
      <c r="A190" s="58" t="inlineStr">
        <is>
          <t>DHKK-A.III.3.2.0</t>
        </is>
      </c>
      <c r="B190" s="148" t="n">
        <v>46056</v>
      </c>
      <c r="C190" s="98" t="inlineStr">
        <is>
          <t>Cách nhiệt ống nước ngưng</t>
        </is>
      </c>
      <c r="D190" s="24" t="n"/>
      <c r="E190" s="24" t="n"/>
      <c r="F190" s="85" t="n"/>
      <c r="G190" s="85" t="n"/>
      <c r="H190" s="44" t="n"/>
      <c r="I190" s="137" t="n"/>
    </row>
    <row r="191" ht="15.6" customHeight="1" s="75">
      <c r="A191" s="58" t="inlineStr">
        <is>
          <t>DHKK-A.III.3.2.1</t>
        </is>
      </c>
      <c r="B191" s="24" t="n"/>
      <c r="C191" s="99" t="inlineStr">
        <is>
          <t>Bảo ôn ống nước ngưng Ø27 dày 13mm</t>
        </is>
      </c>
      <c r="D191" s="61" t="inlineStr">
        <is>
          <t>m</t>
        </is>
      </c>
      <c r="E191" s="61" t="inlineStr">
        <is>
          <t>m</t>
        </is>
      </c>
      <c r="F191" s="88" t="n">
        <v>8</v>
      </c>
      <c r="G191" s="85" t="n"/>
      <c r="H191" s="42">
        <f>IF(OR(ISNUMBER(F191),ISNUMBER(G191)),N(F191)-N(G191),"")</f>
        <v/>
      </c>
      <c r="I191" s="142" t="inlineStr">
        <is>
          <t>Không bao gồm bảo ôn cho sảnh thang máy hầm</t>
        </is>
      </c>
      <c r="J191" s="117">
        <f>IF(OR(ISNUMBER(F191),ISNUMBER(G191)),IF(ISBLANK(G191),"⚠️ Chưa bóc tách định mức",IF(H191&gt;=0,"✅ OK - Cho phép đặt hàng","❌ CHẶN ĐẶT HÀNG - CẦN BẢO VỆ KL")),"")</f>
        <v/>
      </c>
      <c r="K191" s="138">
        <f>IF(OR(ISNUMBER(F191),ISNUMBER(G191)),IF(ISBLANK(G191),"Kỹ sư/Thầu phụ cần bóc tách KL bản vẽ",IF(H191&gt;=0,"Được đặt hàng tối đa "&amp;G191&amp;" "&amp;E191,"Vượt dự toán "&amp;ABS(H191)&amp;" "&amp;E191&amp;" (QS giải trình &amp; duyệt sửa BOQ)")),"")</f>
        <v/>
      </c>
    </row>
    <row r="192" ht="15.6" customHeight="1" s="75">
      <c r="A192" s="58" t="inlineStr">
        <is>
          <t>DHKK-A.III.3.2.2</t>
        </is>
      </c>
      <c r="B192" s="24" t="n"/>
      <c r="C192" s="99" t="inlineStr">
        <is>
          <t>Bảo ôn ống nước ngưng Ø34 dày 13mm</t>
        </is>
      </c>
      <c r="D192" s="61" t="inlineStr">
        <is>
          <t>m</t>
        </is>
      </c>
      <c r="E192" s="61" t="inlineStr">
        <is>
          <t>m</t>
        </is>
      </c>
      <c r="F192" s="88" t="n">
        <v>16</v>
      </c>
      <c r="G192" s="85" t="n"/>
      <c r="H192" s="42">
        <f>IF(OR(ISNUMBER(F192),ISNUMBER(G192)),N(F192)-N(G192),"")</f>
        <v/>
      </c>
      <c r="I192" s="137" t="n"/>
      <c r="J192" s="117">
        <f>IF(OR(ISNUMBER(F192),ISNUMBER(G192)),IF(ISBLANK(G192),"⚠️ Chưa bóc tách định mức",IF(H192&gt;=0,"✅ OK - Cho phép đặt hàng","❌ CHẶN ĐẶT HÀNG - CẦN BẢO VỆ KL")),"")</f>
        <v/>
      </c>
      <c r="K192" s="138">
        <f>IF(OR(ISNUMBER(F192),ISNUMBER(G192)),IF(ISBLANK(G192),"Kỹ sư/Thầu phụ cần bóc tách KL bản vẽ",IF(H192&gt;=0,"Được đặt hàng tối đa "&amp;G192&amp;" "&amp;E192,"Vượt dự toán "&amp;ABS(H192)&amp;" "&amp;E192&amp;" (QS giải trình &amp; duyệt sửa BOQ)")),"")</f>
        <v/>
      </c>
    </row>
    <row r="193" ht="15.6" customHeight="1" s="75">
      <c r="A193" s="58" t="inlineStr">
        <is>
          <t>DHKK-A.III.3.2.3</t>
        </is>
      </c>
      <c r="B193" s="24" t="n"/>
      <c r="C193" s="99" t="inlineStr">
        <is>
          <t>Bảo ôn ống nước ngưng Ø114 dày 13mm</t>
        </is>
      </c>
      <c r="D193" s="61" t="inlineStr">
        <is>
          <t>m</t>
        </is>
      </c>
      <c r="E193" s="61" t="inlineStr">
        <is>
          <t>m</t>
        </is>
      </c>
      <c r="F193" s="88" t="n">
        <v>62</v>
      </c>
      <c r="G193" s="85" t="n"/>
      <c r="H193" s="42">
        <f>IF(OR(ISNUMBER(F193),ISNUMBER(G193)),N(F193)-N(G193),"")</f>
        <v/>
      </c>
      <c r="I193" s="137" t="n"/>
      <c r="J193" s="117">
        <f>IF(OR(ISNUMBER(F193),ISNUMBER(G193)),IF(ISBLANK(G193),"⚠️ Chưa bóc tách định mức",IF(H193&gt;=0,"✅ OK - Cho phép đặt hàng","❌ CHẶN ĐẶT HÀNG - CẦN BẢO VỆ KL")),"")</f>
        <v/>
      </c>
      <c r="K193" s="138">
        <f>IF(OR(ISNUMBER(F193),ISNUMBER(G193)),IF(ISBLANK(G193),"Kỹ sư/Thầu phụ cần bóc tách KL bản vẽ",IF(H193&gt;=0,"Được đặt hàng tối đa "&amp;G193&amp;" "&amp;E193,"Vượt dự toán "&amp;ABS(H193)&amp;" "&amp;E193&amp;" (QS giải trình &amp; duyệt sửa BOQ)")),"")</f>
        <v/>
      </c>
    </row>
    <row r="194" ht="13.8" customHeight="1" s="75">
      <c r="A194" s="80" t="n"/>
      <c r="B194" s="24" t="n"/>
      <c r="C194" s="101" t="n"/>
      <c r="D194" s="24" t="n"/>
      <c r="E194" s="24" t="n"/>
      <c r="F194" s="85" t="n"/>
      <c r="G194" s="85" t="n"/>
      <c r="H194" s="44" t="n"/>
      <c r="I194" s="137" t="n"/>
    </row>
    <row r="195" ht="15.6" customHeight="1" s="75">
      <c r="A195" s="58" t="inlineStr">
        <is>
          <t>DHKK-A.III.4.0</t>
        </is>
      </c>
      <c r="B195" s="37" t="n">
        <v>4</v>
      </c>
      <c r="C195" s="98" t="inlineStr">
        <is>
          <t>Phần điều khiển</t>
        </is>
      </c>
      <c r="D195" s="24" t="n"/>
      <c r="E195" s="24" t="n"/>
      <c r="F195" s="85" t="n"/>
      <c r="G195" s="85" t="n"/>
      <c r="H195" s="44" t="n"/>
      <c r="I195" s="137" t="n"/>
    </row>
    <row r="196" ht="15.6" customHeight="1" s="75">
      <c r="A196" s="58" t="inlineStr">
        <is>
          <t>DHKK-A.III.4.1</t>
        </is>
      </c>
      <c r="B196" s="24" t="n"/>
      <c r="C196" s="99" t="inlineStr">
        <is>
          <t>2Cx1.5mm2 Cu/PVC</t>
        </is>
      </c>
      <c r="D196" s="61" t="inlineStr">
        <is>
          <t>m</t>
        </is>
      </c>
      <c r="E196" s="61" t="inlineStr">
        <is>
          <t>m</t>
        </is>
      </c>
      <c r="F196" s="88" t="n">
        <v>0</v>
      </c>
      <c r="G196" s="85" t="n"/>
      <c r="H196" s="44">
        <f>IF(OR(ISNUMBER(F196),ISNUMBER(G196)),N(F196)-N(G196),"")</f>
        <v/>
      </c>
      <c r="I196" s="142" t="inlineStr">
        <is>
          <t>Không bao gồm cáp điều khiển cho sảnh thang máy hầm</t>
        </is>
      </c>
      <c r="J196" s="117">
        <f>IF(OR(ISNUMBER(F196),ISNUMBER(G196)),IF(ISBLANK(G196),"⚠️ Chưa bóc tách định mức",IF(H196&gt;=0,"✅ OK - Cho phép đặt hàng","❌ CHẶN ĐẶT HÀNG - CẦN BẢO VỆ KL")),"")</f>
        <v/>
      </c>
      <c r="K196" s="138">
        <f>IF(OR(ISNUMBER(F196),ISNUMBER(G196)),IF(ISBLANK(G196),"Kỹ sư/Thầu phụ cần bóc tách KL bản vẽ",IF(H196&gt;=0,"Được đặt hàng tối đa "&amp;G196&amp;" "&amp;E196,"Vượt dự toán "&amp;ABS(H196)&amp;" "&amp;E196&amp;" (QS giải trình &amp; duyệt sửa BOQ)")),"")</f>
        <v/>
      </c>
    </row>
    <row r="197" ht="15.6" customHeight="1" s="75">
      <c r="A197" s="58" t="inlineStr">
        <is>
          <t>DHKK-A.III.4.2</t>
        </is>
      </c>
      <c r="B197" s="24" t="n"/>
      <c r="C197" s="99" t="inlineStr">
        <is>
          <t>4Cx1.5mm2 Cu/PVC</t>
        </is>
      </c>
      <c r="D197" s="61" t="inlineStr">
        <is>
          <t>m</t>
        </is>
      </c>
      <c r="E197" s="61" t="inlineStr">
        <is>
          <t>m</t>
        </is>
      </c>
      <c r="F197" s="88" t="n">
        <v>13</v>
      </c>
      <c r="G197" s="85" t="n"/>
      <c r="H197" s="42">
        <f>IF(OR(ISNUMBER(F197),ISNUMBER(G197)),N(F197)-N(G197),"")</f>
        <v/>
      </c>
      <c r="I197" s="142" t="inlineStr">
        <is>
          <t>Không bao gồm cáp điều khiển cho sảnh thang máy hầm</t>
        </is>
      </c>
      <c r="J197" s="117">
        <f>IF(OR(ISNUMBER(F197),ISNUMBER(G197)),IF(ISBLANK(G197),"⚠️ Chưa bóc tách định mức",IF(H197&gt;=0,"✅ OK - Cho phép đặt hàng","❌ CHẶN ĐẶT HÀNG - CẦN BẢO VỆ KL")),"")</f>
        <v/>
      </c>
      <c r="K197" s="138">
        <f>IF(OR(ISNUMBER(F197),ISNUMBER(G197)),IF(ISBLANK(G197),"Kỹ sư/Thầu phụ cần bóc tách KL bản vẽ",IF(H197&gt;=0,"Được đặt hàng tối đa "&amp;G197&amp;" "&amp;E197,"Vượt dự toán "&amp;ABS(H197)&amp;" "&amp;E197&amp;" (QS giải trình &amp; duyệt sửa BOQ)")),"")</f>
        <v/>
      </c>
    </row>
    <row r="198" ht="15.6" customHeight="1" s="75">
      <c r="A198" s="58" t="inlineStr">
        <is>
          <t>DHKK-B</t>
        </is>
      </c>
      <c r="B198" s="28" t="inlineStr">
        <is>
          <t>B</t>
        </is>
      </c>
      <c r="C198" s="96" t="inlineStr">
        <is>
          <t>PHẦN KHỐI ĐẾ</t>
        </is>
      </c>
      <c r="D198" s="69" t="n"/>
      <c r="E198" s="69" t="n"/>
      <c r="F198" s="86" t="n"/>
      <c r="G198" s="86" t="n"/>
      <c r="H198" s="70" t="n"/>
      <c r="I198" s="135" t="n"/>
    </row>
    <row r="199" ht="15.6" customHeight="1" s="75">
      <c r="A199" s="58" t="inlineStr">
        <is>
          <t>DHKK-B-I1</t>
        </is>
      </c>
      <c r="B199" s="33" t="inlineStr">
        <is>
          <t>I.1</t>
        </is>
      </c>
      <c r="C199" s="97" t="inlineStr">
        <is>
          <t>HỆ THỐNG ĐIỀU HÒA THÔNG GIÓ KHU CHUNG</t>
        </is>
      </c>
      <c r="D199" s="34" t="n"/>
      <c r="E199" s="34" t="n"/>
      <c r="F199" s="87" t="n"/>
      <c r="G199" s="87" t="n"/>
      <c r="H199" s="35" t="n"/>
      <c r="I199" s="144" t="n"/>
    </row>
    <row r="200" ht="15.6" customHeight="1" s="75">
      <c r="A200" s="58" t="inlineStr">
        <is>
          <t>DHKK-B-I1.1.0</t>
        </is>
      </c>
      <c r="B200" s="37" t="n">
        <v>1</v>
      </c>
      <c r="C200" s="98" t="inlineStr">
        <is>
          <t>Thiết bị máy lạnh</t>
        </is>
      </c>
      <c r="D200" s="24" t="n"/>
      <c r="E200" s="24" t="n"/>
      <c r="F200" s="85" t="n"/>
      <c r="G200" s="85" t="n"/>
      <c r="H200" s="44" t="n"/>
      <c r="I200" s="137" t="n"/>
    </row>
    <row r="201" ht="28.5" customHeight="1" s="75">
      <c r="A201" s="58" t="inlineStr">
        <is>
          <t>DHKK-B-I1.1.1</t>
        </is>
      </c>
      <c r="B201" s="24" t="n"/>
      <c r="C201" s="99" t="inlineStr">
        <is>
          <t>Máy lạnh cục bộ, dàn lạnh loại âm trần nối ống gió ODU/IDU-1F-01,04, công suất lạnh: 5.0 Kw.</t>
        </is>
      </c>
      <c r="D201" s="61" t="inlineStr">
        <is>
          <t>Bộ</t>
        </is>
      </c>
      <c r="E201" s="61" t="inlineStr">
        <is>
          <t>Bộ</t>
        </is>
      </c>
      <c r="F201" s="88" t="n">
        <v>2</v>
      </c>
      <c r="G201" s="85" t="n"/>
      <c r="H201" s="42">
        <f>IF(OR(ISNUMBER(F201),ISNUMBER(G201)),N(F201)-N(G201),"")</f>
        <v/>
      </c>
      <c r="I201" s="137" t="n"/>
      <c r="J201" s="117">
        <f>IF(OR(ISNUMBER(F201),ISNUMBER(G201)),IF(ISBLANK(G201),"⚠️ Chưa bóc tách định mức",IF(H201&gt;=0,"✅ OK - Cho phép đặt hàng","❌ CHẶN ĐẶT HÀNG - CẦN BẢO VỆ KL")),"")</f>
        <v/>
      </c>
      <c r="K201" s="138">
        <f>IF(OR(ISNUMBER(F201),ISNUMBER(G201)),IF(ISBLANK(G201),"Kỹ sư/Thầu phụ cần bóc tách KL bản vẽ",IF(H201&gt;=0,"Được đặt hàng tối đa "&amp;G201&amp;" "&amp;E201,"Vượt dự toán "&amp;ABS(H201)&amp;" "&amp;E201&amp;" (QS giải trình &amp; duyệt sửa BOQ)")),"")</f>
        <v/>
      </c>
    </row>
    <row r="202" ht="28.5" customHeight="1" s="75">
      <c r="A202" s="58" t="inlineStr">
        <is>
          <t>DHKK-B-I1.1.2</t>
        </is>
      </c>
      <c r="B202" s="24" t="n"/>
      <c r="C202" s="99" t="inlineStr">
        <is>
          <t>Máy lạnh cục bộ, dàn lạnh loại âm trần nối ống gió ODU/IDU-1F-01, công suất lạnh: 5.0 Kw.</t>
        </is>
      </c>
      <c r="D202" s="61" t="inlineStr">
        <is>
          <t>Bộ</t>
        </is>
      </c>
      <c r="E202" s="61" t="inlineStr">
        <is>
          <t>Bộ</t>
        </is>
      </c>
      <c r="F202" s="88" t="n">
        <v>0</v>
      </c>
      <c r="G202" s="85" t="n"/>
      <c r="H202" s="44">
        <f>IF(OR(ISNUMBER(F202),ISNUMBER(G202)),N(F202)-N(G202),"")</f>
        <v/>
      </c>
      <c r="I202" s="137" t="n"/>
      <c r="J202" s="117">
        <f>IF(OR(ISNUMBER(F202),ISNUMBER(G202)),IF(ISBLANK(G202),"⚠️ Chưa bóc tách định mức",IF(H202&gt;=0,"✅ OK - Cho phép đặt hàng","❌ CHẶN ĐẶT HÀNG - CẦN BẢO VỆ KL")),"")</f>
        <v/>
      </c>
      <c r="K202" s="138">
        <f>IF(OR(ISNUMBER(F202),ISNUMBER(G202)),IF(ISBLANK(G202),"Kỹ sư/Thầu phụ cần bóc tách KL bản vẽ",IF(H202&gt;=0,"Được đặt hàng tối đa "&amp;G202&amp;" "&amp;E202,"Vượt dự toán "&amp;ABS(H202)&amp;" "&amp;E202&amp;" (QS giải trình &amp; duyệt sửa BOQ)")),"")</f>
        <v/>
      </c>
    </row>
    <row r="203" ht="28.5" customHeight="1" s="75">
      <c r="A203" s="58" t="inlineStr">
        <is>
          <t>DHKK-B-I1.1.3</t>
        </is>
      </c>
      <c r="B203" s="24" t="n"/>
      <c r="C203" s="99" t="inlineStr">
        <is>
          <t>Máy lạnh cục bộ, dàn lạnh loại âm trần nối ống gió ODU/IDU-1F-02, công suất lạnh: 10.0 Kw.</t>
        </is>
      </c>
      <c r="D203" s="61" t="inlineStr">
        <is>
          <t>Bộ</t>
        </is>
      </c>
      <c r="E203" s="61" t="inlineStr">
        <is>
          <t>Bộ</t>
        </is>
      </c>
      <c r="F203" s="88" t="n">
        <v>0</v>
      </c>
      <c r="G203" s="85" t="n"/>
      <c r="H203" s="44">
        <f>IF(OR(ISNUMBER(F203),ISNUMBER(G203)),N(F203)-N(G203),"")</f>
        <v/>
      </c>
      <c r="I203" s="137" t="n"/>
      <c r="J203" s="117">
        <f>IF(OR(ISNUMBER(F203),ISNUMBER(G203)),IF(ISBLANK(G203),"⚠️ Chưa bóc tách định mức",IF(H203&gt;=0,"✅ OK - Cho phép đặt hàng","❌ CHẶN ĐẶT HÀNG - CẦN BẢO VỆ KL")),"")</f>
        <v/>
      </c>
      <c r="K203" s="138">
        <f>IF(OR(ISNUMBER(F203),ISNUMBER(G203)),IF(ISBLANK(G203),"Kỹ sư/Thầu phụ cần bóc tách KL bản vẽ",IF(H203&gt;=0,"Được đặt hàng tối đa "&amp;G203&amp;" "&amp;E203,"Vượt dự toán "&amp;ABS(H203)&amp;" "&amp;E203&amp;" (QS giải trình &amp; duyệt sửa BOQ)")),"")</f>
        <v/>
      </c>
    </row>
    <row r="204" ht="28.5" customHeight="1" s="75">
      <c r="A204" s="58" t="inlineStr">
        <is>
          <t>DHKK-B-I1.1.4</t>
        </is>
      </c>
      <c r="B204" s="24" t="n"/>
      <c r="C204" s="99" t="inlineStr">
        <is>
          <t>Máy lạnh cục bộ, dàn lạnh loại âm trần nối ống gió ODU/IDU-1F-03, công suất lạnh: 10.0 Kw.</t>
        </is>
      </c>
      <c r="D204" s="61" t="inlineStr">
        <is>
          <t>Bộ</t>
        </is>
      </c>
      <c r="E204" s="61" t="inlineStr">
        <is>
          <t>Bộ</t>
        </is>
      </c>
      <c r="F204" s="88" t="n">
        <v>1</v>
      </c>
      <c r="G204" s="85" t="n"/>
      <c r="H204" s="42">
        <f>IF(OR(ISNUMBER(F204),ISNUMBER(G204)),N(F204)-N(G204),"")</f>
        <v/>
      </c>
      <c r="I204" s="137" t="n"/>
      <c r="J204" s="117">
        <f>IF(OR(ISNUMBER(F204),ISNUMBER(G204)),IF(ISBLANK(G204),"⚠️ Chưa bóc tách định mức",IF(H204&gt;=0,"✅ OK - Cho phép đặt hàng","❌ CHẶN ĐẶT HÀNG - CẦN BẢO VỆ KL")),"")</f>
        <v/>
      </c>
      <c r="K204" s="138">
        <f>IF(OR(ISNUMBER(F204),ISNUMBER(G204)),IF(ISBLANK(G204),"Kỹ sư/Thầu phụ cần bóc tách KL bản vẽ",IF(H204&gt;=0,"Được đặt hàng tối đa "&amp;G204&amp;" "&amp;E204,"Vượt dự toán "&amp;ABS(H204)&amp;" "&amp;E204&amp;" (QS giải trình &amp; duyệt sửa BOQ)")),"")</f>
        <v/>
      </c>
    </row>
    <row r="205" ht="28.5" customHeight="1" s="75">
      <c r="A205" s="58" t="inlineStr">
        <is>
          <t>DHKK-B-I1.1.5</t>
        </is>
      </c>
      <c r="B205" s="24" t="n"/>
      <c r="C205" s="99" t="inlineStr">
        <is>
          <t>Máy lạnh cục bộ, dàn lạnh loại gắn tường ODU/IDU-1F-02, công suất lạnh: 5.0 Kw.</t>
        </is>
      </c>
      <c r="D205" s="61" t="inlineStr">
        <is>
          <t>Bộ</t>
        </is>
      </c>
      <c r="E205" s="61" t="inlineStr">
        <is>
          <t>Bộ</t>
        </is>
      </c>
      <c r="F205" s="88" t="n">
        <v>1</v>
      </c>
      <c r="G205" s="85" t="n"/>
      <c r="H205" s="42">
        <f>IF(OR(ISNUMBER(F205),ISNUMBER(G205)),N(F205)-N(G205),"")</f>
        <v/>
      </c>
      <c r="I205" s="137" t="n"/>
      <c r="J205" s="117">
        <f>IF(OR(ISNUMBER(F205),ISNUMBER(G205)),IF(ISBLANK(G205),"⚠️ Chưa bóc tách định mức",IF(H205&gt;=0,"✅ OK - Cho phép đặt hàng","❌ CHẶN ĐẶT HÀNG - CẦN BẢO VỆ KL")),"")</f>
        <v/>
      </c>
      <c r="K205" s="138">
        <f>IF(OR(ISNUMBER(F205),ISNUMBER(G205)),IF(ISBLANK(G205),"Kỹ sư/Thầu phụ cần bóc tách KL bản vẽ",IF(H205&gt;=0,"Được đặt hàng tối đa "&amp;G205&amp;" "&amp;E205,"Vượt dự toán "&amp;ABS(H205)&amp;" "&amp;E205&amp;" (QS giải trình &amp; duyệt sửa BOQ)")),"")</f>
        <v/>
      </c>
    </row>
    <row r="206" ht="28.5" customHeight="1" s="75">
      <c r="A206" s="58" t="inlineStr">
        <is>
          <t>DHKK-B-I1.1.6</t>
        </is>
      </c>
      <c r="B206" s="24" t="n"/>
      <c r="C206" s="99" t="inlineStr">
        <is>
          <t>Máy lạnh cục bộ, dàn lạnh loại cassette ODU/IDU-1F/C-01,02,03,04, công suất lạnh: 7.1 Kw.</t>
        </is>
      </c>
      <c r="D206" s="61" t="inlineStr">
        <is>
          <t>Bộ</t>
        </is>
      </c>
      <c r="E206" s="61" t="inlineStr">
        <is>
          <t>Bộ</t>
        </is>
      </c>
      <c r="F206" s="88" t="n">
        <v>0</v>
      </c>
      <c r="G206" s="85" t="n"/>
      <c r="H206" s="44">
        <f>IF(OR(ISNUMBER(F206),ISNUMBER(G206)),N(F206)-N(G206),"")</f>
        <v/>
      </c>
      <c r="I206" s="142" t="inlineStr">
        <is>
          <t>Không bao gồm máy lạnh cho khu nhà trẻ</t>
        </is>
      </c>
      <c r="J206" s="117">
        <f>IF(OR(ISNUMBER(F206),ISNUMBER(G206)),IF(ISBLANK(G206),"⚠️ Chưa bóc tách định mức",IF(H206&gt;=0,"✅ OK - Cho phép đặt hàng","❌ CHẶN ĐẶT HÀNG - CẦN BẢO VỆ KL")),"")</f>
        <v/>
      </c>
      <c r="K206" s="138">
        <f>IF(OR(ISNUMBER(F206),ISNUMBER(G206)),IF(ISBLANK(G206),"Kỹ sư/Thầu phụ cần bóc tách KL bản vẽ",IF(H206&gt;=0,"Được đặt hàng tối đa "&amp;G206&amp;" "&amp;E206,"Vượt dự toán "&amp;ABS(H206)&amp;" "&amp;E206&amp;" (QS giải trình &amp; duyệt sửa BOQ)")),"")</f>
        <v/>
      </c>
    </row>
    <row r="207" ht="28.5" customHeight="1" s="75">
      <c r="A207" s="58" t="inlineStr">
        <is>
          <t>DHKK-B-I1.1.7</t>
        </is>
      </c>
      <c r="B207" s="24" t="n"/>
      <c r="C207" s="99" t="inlineStr">
        <is>
          <t>Máy lạnh cục bộ, dàn lạnh loại cassette ODU/IDU-1F/C-05,06,13, công suất lạnh: 5.0 Kw.</t>
        </is>
      </c>
      <c r="D207" s="61" t="inlineStr">
        <is>
          <t>Bộ</t>
        </is>
      </c>
      <c r="E207" s="61" t="inlineStr">
        <is>
          <t>Bộ</t>
        </is>
      </c>
      <c r="F207" s="88" t="n">
        <v>0</v>
      </c>
      <c r="G207" s="85" t="n"/>
      <c r="H207" s="44">
        <f>IF(OR(ISNUMBER(F207),ISNUMBER(G207)),N(F207)-N(G207),"")</f>
        <v/>
      </c>
      <c r="I207" s="142" t="inlineStr">
        <is>
          <t>Không bao gồm máy lạnh cho khu nhà trẻ</t>
        </is>
      </c>
      <c r="J207" s="117">
        <f>IF(OR(ISNUMBER(F207),ISNUMBER(G207)),IF(ISBLANK(G207),"⚠️ Chưa bóc tách định mức",IF(H207&gt;=0,"✅ OK - Cho phép đặt hàng","❌ CHẶN ĐẶT HÀNG - CẦN BẢO VỆ KL")),"")</f>
        <v/>
      </c>
      <c r="K207" s="138">
        <f>IF(OR(ISNUMBER(F207),ISNUMBER(G207)),IF(ISBLANK(G207),"Kỹ sư/Thầu phụ cần bóc tách KL bản vẽ",IF(H207&gt;=0,"Được đặt hàng tối đa "&amp;G207&amp;" "&amp;E207,"Vượt dự toán "&amp;ABS(H207)&amp;" "&amp;E207&amp;" (QS giải trình &amp; duyệt sửa BOQ)")),"")</f>
        <v/>
      </c>
    </row>
    <row r="208" ht="42.3" customHeight="1" s="75">
      <c r="A208" s="58" t="inlineStr">
        <is>
          <t>DHKK-B-I1.1.8</t>
        </is>
      </c>
      <c r="B208" s="24" t="n"/>
      <c r="C208" s="99" t="inlineStr">
        <is>
          <t>Máy lạnh cục bộ, dàn lạnh loại cassette ODU/IDU-1F/C-07,08,09,10,11,12,14, công suất lạnh: 10.0 Kw.</t>
        </is>
      </c>
      <c r="D208" s="61" t="inlineStr">
        <is>
          <t>Bộ</t>
        </is>
      </c>
      <c r="E208" s="61" t="inlineStr">
        <is>
          <t>Bộ</t>
        </is>
      </c>
      <c r="F208" s="88" t="n">
        <v>0</v>
      </c>
      <c r="G208" s="85" t="n"/>
      <c r="H208" s="44">
        <f>IF(OR(ISNUMBER(F208),ISNUMBER(G208)),N(F208)-N(G208),"")</f>
        <v/>
      </c>
      <c r="I208" s="142" t="inlineStr">
        <is>
          <t>Không bao gồm máy lạnh cho khu nhà trẻ</t>
        </is>
      </c>
      <c r="J208" s="117">
        <f>IF(OR(ISNUMBER(F208),ISNUMBER(G208)),IF(ISBLANK(G208),"⚠️ Chưa bóc tách định mức",IF(H208&gt;=0,"✅ OK - Cho phép đặt hàng","❌ CHẶN ĐẶT HÀNG - CẦN BẢO VỆ KL")),"")</f>
        <v/>
      </c>
      <c r="K208" s="138">
        <f>IF(OR(ISNUMBER(F208),ISNUMBER(G208)),IF(ISBLANK(G208),"Kỹ sư/Thầu phụ cần bóc tách KL bản vẽ",IF(H208&gt;=0,"Được đặt hàng tối đa "&amp;G208&amp;" "&amp;E208,"Vượt dự toán "&amp;ABS(H208)&amp;" "&amp;E208&amp;" (QS giải trình &amp; duyệt sửa BOQ)")),"")</f>
        <v/>
      </c>
    </row>
    <row r="209" ht="28.5" customHeight="1" s="75">
      <c r="A209" s="58" t="inlineStr">
        <is>
          <t>DHKK-B-I1.1.9</t>
        </is>
      </c>
      <c r="B209" s="24" t="n"/>
      <c r="C209" s="99" t="inlineStr">
        <is>
          <t>Máy lạnh cục bộ, dàn lạnh loại nối ống gió ODU/IDU-2F-01,02, công suất lạnh: 10.0 Kw.</t>
        </is>
      </c>
      <c r="D209" s="61" t="inlineStr">
        <is>
          <t>Bộ</t>
        </is>
      </c>
      <c r="E209" s="61" t="inlineStr">
        <is>
          <t>Bộ</t>
        </is>
      </c>
      <c r="F209" s="88" t="n">
        <v>2</v>
      </c>
      <c r="G209" s="85" t="n"/>
      <c r="H209" s="42">
        <f>IF(OR(ISNUMBER(F209),ISNUMBER(G209)),N(F209)-N(G209),"")</f>
        <v/>
      </c>
      <c r="I209" s="137" t="n"/>
      <c r="J209" s="117">
        <f>IF(OR(ISNUMBER(F209),ISNUMBER(G209)),IF(ISBLANK(G209),"⚠️ Chưa bóc tách định mức",IF(H209&gt;=0,"✅ OK - Cho phép đặt hàng","❌ CHẶN ĐẶT HÀNG - CẦN BẢO VỆ KL")),"")</f>
        <v/>
      </c>
      <c r="K209" s="138">
        <f>IF(OR(ISNUMBER(F209),ISNUMBER(G209)),IF(ISBLANK(G209),"Kỹ sư/Thầu phụ cần bóc tách KL bản vẽ",IF(H209&gt;=0,"Được đặt hàng tối đa "&amp;G209&amp;" "&amp;E209,"Vượt dự toán "&amp;ABS(H209)&amp;" "&amp;E209&amp;" (QS giải trình &amp; duyệt sửa BOQ)")),"")</f>
        <v/>
      </c>
    </row>
    <row r="210" ht="28.5" customHeight="1" s="75">
      <c r="A210" s="58" t="inlineStr">
        <is>
          <t>DHKK-B-I1.1.10</t>
        </is>
      </c>
      <c r="B210" s="24" t="n"/>
      <c r="C210" s="99" t="inlineStr">
        <is>
          <t>Máy lạnh cục bộ, dàn lạnh loại nối ống gió ODU/IDU-2F-01, công suất lạnh: 10.0 Kw.</t>
        </is>
      </c>
      <c r="D210" s="61" t="inlineStr">
        <is>
          <t>Bộ</t>
        </is>
      </c>
      <c r="E210" s="61" t="inlineStr">
        <is>
          <t>Bộ</t>
        </is>
      </c>
      <c r="F210" s="88" t="n">
        <v>0</v>
      </c>
      <c r="G210" s="85" t="n"/>
      <c r="H210" s="44">
        <f>IF(OR(ISNUMBER(F210),ISNUMBER(G210)),N(F210)-N(G210),"")</f>
        <v/>
      </c>
      <c r="I210" s="137" t="n"/>
      <c r="J210" s="117">
        <f>IF(OR(ISNUMBER(F210),ISNUMBER(G210)),IF(ISBLANK(G210),"⚠️ Chưa bóc tách định mức",IF(H210&gt;=0,"✅ OK - Cho phép đặt hàng","❌ CHẶN ĐẶT HÀNG - CẦN BẢO VỆ KL")),"")</f>
        <v/>
      </c>
      <c r="K210" s="138">
        <f>IF(OR(ISNUMBER(F210),ISNUMBER(G210)),IF(ISBLANK(G210),"Kỹ sư/Thầu phụ cần bóc tách KL bản vẽ",IF(H210&gt;=0,"Được đặt hàng tối đa "&amp;G210&amp;" "&amp;E210,"Vượt dự toán "&amp;ABS(H210)&amp;" "&amp;E210&amp;" (QS giải trình &amp; duyệt sửa BOQ)")),"")</f>
        <v/>
      </c>
    </row>
    <row r="211" ht="28.5" customHeight="1" s="75">
      <c r="A211" s="58" t="inlineStr">
        <is>
          <t>DHKK-B-I1.1.11</t>
        </is>
      </c>
      <c r="B211" s="24" t="n"/>
      <c r="C211" s="99" t="inlineStr">
        <is>
          <t>Máy lạnh cục bộ, dàn lạnh loại cassette ODU/IDU-2F-03,04, công suất lạnh: 5.0 Kw.</t>
        </is>
      </c>
      <c r="D211" s="61" t="inlineStr">
        <is>
          <t>Bộ</t>
        </is>
      </c>
      <c r="E211" s="61" t="inlineStr">
        <is>
          <t>Bộ</t>
        </is>
      </c>
      <c r="F211" s="88" t="n">
        <v>2</v>
      </c>
      <c r="G211" s="85" t="n"/>
      <c r="H211" s="42">
        <f>IF(OR(ISNUMBER(F211),ISNUMBER(G211)),N(F211)-N(G211),"")</f>
        <v/>
      </c>
      <c r="I211" s="137" t="n"/>
      <c r="J211" s="117">
        <f>IF(OR(ISNUMBER(F211),ISNUMBER(G211)),IF(ISBLANK(G211),"⚠️ Chưa bóc tách định mức",IF(H211&gt;=0,"✅ OK - Cho phép đặt hàng","❌ CHẶN ĐẶT HÀNG - CẦN BẢO VỆ KL")),"")</f>
        <v/>
      </c>
      <c r="K211" s="138">
        <f>IF(OR(ISNUMBER(F211),ISNUMBER(G211)),IF(ISBLANK(G211),"Kỹ sư/Thầu phụ cần bóc tách KL bản vẽ",IF(H211&gt;=0,"Được đặt hàng tối đa "&amp;G211&amp;" "&amp;E211,"Vượt dự toán "&amp;ABS(H211)&amp;" "&amp;E211&amp;" (QS giải trình &amp; duyệt sửa BOQ)")),"")</f>
        <v/>
      </c>
    </row>
    <row r="212" ht="28.5" customHeight="1" s="75">
      <c r="A212" s="58" t="inlineStr">
        <is>
          <t>DHKK-B-I1.1.12</t>
        </is>
      </c>
      <c r="B212" s="24" t="n"/>
      <c r="C212" s="99" t="inlineStr">
        <is>
          <t>Máy lạnh cục bộ, dàn lạnh loại cassette ODU/IDU-2F/C-01,03,04,05,16 công suất lạnh: 7.1 Kw.</t>
        </is>
      </c>
      <c r="D212" s="61" t="inlineStr">
        <is>
          <t>Bộ</t>
        </is>
      </c>
      <c r="E212" s="61" t="inlineStr">
        <is>
          <t>Bộ</t>
        </is>
      </c>
      <c r="F212" s="88" t="n">
        <v>0</v>
      </c>
      <c r="G212" s="85" t="n"/>
      <c r="H212" s="44">
        <f>IF(OR(ISNUMBER(F212),ISNUMBER(G212)),N(F212)-N(G212),"")</f>
        <v/>
      </c>
      <c r="I212" s="142" t="inlineStr">
        <is>
          <t>Không bao gồm máy lạnh cho khu nhà trẻ</t>
        </is>
      </c>
      <c r="J212" s="117">
        <f>IF(OR(ISNUMBER(F212),ISNUMBER(G212)),IF(ISBLANK(G212),"⚠️ Chưa bóc tách định mức",IF(H212&gt;=0,"✅ OK - Cho phép đặt hàng","❌ CHẶN ĐẶT HÀNG - CẦN BẢO VỆ KL")),"")</f>
        <v/>
      </c>
      <c r="K212" s="138">
        <f>IF(OR(ISNUMBER(F212),ISNUMBER(G212)),IF(ISBLANK(G212),"Kỹ sư/Thầu phụ cần bóc tách KL bản vẽ",IF(H212&gt;=0,"Được đặt hàng tối đa "&amp;G212&amp;" "&amp;E212,"Vượt dự toán "&amp;ABS(H212)&amp;" "&amp;E212&amp;" (QS giải trình &amp; duyệt sửa BOQ)")),"")</f>
        <v/>
      </c>
    </row>
    <row r="213" ht="42.3" customHeight="1" s="75">
      <c r="A213" s="58" t="inlineStr">
        <is>
          <t>DHKK-B-I1.1.13</t>
        </is>
      </c>
      <c r="B213" s="24" t="n"/>
      <c r="C213" s="99" t="inlineStr">
        <is>
          <t>Máy lạnh cục bộ, dàn lạnh loại cassette ODU/IDU-2F/C-02,06,07,09,10,11,12,13,14,15,17, công suất lạnh: 10.0 Kw.</t>
        </is>
      </c>
      <c r="D213" s="61" t="inlineStr">
        <is>
          <t>Bộ</t>
        </is>
      </c>
      <c r="E213" s="61" t="inlineStr">
        <is>
          <t>Bộ</t>
        </is>
      </c>
      <c r="F213" s="88" t="n">
        <v>0</v>
      </c>
      <c r="G213" s="85" t="n"/>
      <c r="H213" s="44">
        <f>IF(OR(ISNUMBER(F213),ISNUMBER(G213)),N(F213)-N(G213),"")</f>
        <v/>
      </c>
      <c r="I213" s="142" t="inlineStr">
        <is>
          <t>Không bao gồm máy lạnh cho khu nhà trẻ</t>
        </is>
      </c>
      <c r="J213" s="117">
        <f>IF(OR(ISNUMBER(F213),ISNUMBER(G213)),IF(ISBLANK(G213),"⚠️ Chưa bóc tách định mức",IF(H213&gt;=0,"✅ OK - Cho phép đặt hàng","❌ CHẶN ĐẶT HÀNG - CẦN BẢO VỆ KL")),"")</f>
        <v/>
      </c>
      <c r="K213" s="138">
        <f>IF(OR(ISNUMBER(F213),ISNUMBER(G213)),IF(ISBLANK(G213),"Kỹ sư/Thầu phụ cần bóc tách KL bản vẽ",IF(H213&gt;=0,"Được đặt hàng tối đa "&amp;G213&amp;" "&amp;E213,"Vượt dự toán "&amp;ABS(H213)&amp;" "&amp;E213&amp;" (QS giải trình &amp; duyệt sửa BOQ)")),"")</f>
        <v/>
      </c>
    </row>
    <row r="214" ht="28.5" customHeight="1" s="75">
      <c r="A214" s="58" t="inlineStr">
        <is>
          <t>DHKK-B-I1.1.14</t>
        </is>
      </c>
      <c r="B214" s="24" t="n"/>
      <c r="C214" s="99" t="inlineStr">
        <is>
          <t>Máy lạnh cục bộ, dàn lạnh loại cassette ODU/IDU-2F/C-08,18, công suất lạnh: 12.5 Kw.</t>
        </is>
      </c>
      <c r="D214" s="61" t="inlineStr">
        <is>
          <t>Bộ</t>
        </is>
      </c>
      <c r="E214" s="61" t="inlineStr">
        <is>
          <t>Bộ</t>
        </is>
      </c>
      <c r="F214" s="88" t="n">
        <v>0</v>
      </c>
      <c r="G214" s="85" t="n"/>
      <c r="H214" s="44">
        <f>IF(OR(ISNUMBER(F214),ISNUMBER(G214)),N(F214)-N(G214),"")</f>
        <v/>
      </c>
      <c r="I214" s="142" t="inlineStr">
        <is>
          <t>Không bao gồm máy lạnh cho khu nhà trẻ</t>
        </is>
      </c>
      <c r="J214" s="117">
        <f>IF(OR(ISNUMBER(F214),ISNUMBER(G214)),IF(ISBLANK(G214),"⚠️ Chưa bóc tách định mức",IF(H214&gt;=0,"✅ OK - Cho phép đặt hàng","❌ CHẶN ĐẶT HÀNG - CẦN BẢO VỆ KL")),"")</f>
        <v/>
      </c>
      <c r="K214" s="138">
        <f>IF(OR(ISNUMBER(F214),ISNUMBER(G214)),IF(ISBLANK(G214),"Kỹ sư/Thầu phụ cần bóc tách KL bản vẽ",IF(H214&gt;=0,"Được đặt hàng tối đa "&amp;G214&amp;" "&amp;E214,"Vượt dự toán "&amp;ABS(H214)&amp;" "&amp;E214&amp;" (QS giải trình &amp; duyệt sửa BOQ)")),"")</f>
        <v/>
      </c>
    </row>
    <row r="215" ht="15.6" customHeight="1" s="75">
      <c r="A215" s="58" t="inlineStr">
        <is>
          <t>DHKK-B-I1.1.15</t>
        </is>
      </c>
      <c r="B215" s="24" t="n"/>
      <c r="C215" s="99" t="inlineStr">
        <is>
          <t>Box cấp/hồi cho FCU</t>
        </is>
      </c>
      <c r="D215" s="61" t="inlineStr">
        <is>
          <t>Bộ</t>
        </is>
      </c>
      <c r="E215" s="61" t="inlineStr">
        <is>
          <t>Bộ</t>
        </is>
      </c>
      <c r="F215" s="88" t="n">
        <v>5</v>
      </c>
      <c r="G215" s="85" t="n"/>
      <c r="H215" s="42">
        <f>IF(OR(ISNUMBER(F215),ISNUMBER(G215)),N(F215)-N(G215),"")</f>
        <v/>
      </c>
      <c r="I215" s="142" t="inlineStr">
        <is>
          <t>1 bộ gồm 2 cái</t>
        </is>
      </c>
      <c r="J215" s="117">
        <f>IF(OR(ISNUMBER(F215),ISNUMBER(G215)),IF(ISBLANK(G215),"⚠️ Chưa bóc tách định mức",IF(H215&gt;=0,"✅ OK - Cho phép đặt hàng","❌ CHẶN ĐẶT HÀNG - CẦN BẢO VỆ KL")),"")</f>
        <v/>
      </c>
      <c r="K215" s="138">
        <f>IF(OR(ISNUMBER(F215),ISNUMBER(G215)),IF(ISBLANK(G215),"Kỹ sư/Thầu phụ cần bóc tách KL bản vẽ",IF(H215&gt;=0,"Được đặt hàng tối đa "&amp;G215&amp;" "&amp;E215,"Vượt dự toán "&amp;ABS(H215)&amp;" "&amp;E215&amp;" (QS giải trình &amp; duyệt sửa BOQ)")),"")</f>
        <v/>
      </c>
    </row>
    <row r="216" ht="15.6" customHeight="1" s="75">
      <c r="A216" s="58" t="inlineStr">
        <is>
          <t>DHKK-B-I1.1.16</t>
        </is>
      </c>
      <c r="B216" s="24" t="n"/>
      <c r="C216" s="99" t="inlineStr">
        <is>
          <t>Nối mềm FCU</t>
        </is>
      </c>
      <c r="D216" s="61" t="inlineStr">
        <is>
          <t>Bộ</t>
        </is>
      </c>
      <c r="E216" s="61" t="inlineStr">
        <is>
          <t>Bộ</t>
        </is>
      </c>
      <c r="F216" s="88" t="n">
        <v>5</v>
      </c>
      <c r="G216" s="85" t="n"/>
      <c r="H216" s="42">
        <f>IF(OR(ISNUMBER(F216),ISNUMBER(G216)),N(F216)-N(G216),"")</f>
        <v/>
      </c>
      <c r="I216" s="142" t="inlineStr">
        <is>
          <t>1 bộ gồm 2 cái</t>
        </is>
      </c>
      <c r="J216" s="117">
        <f>IF(OR(ISNUMBER(F216),ISNUMBER(G216)),IF(ISBLANK(G216),"⚠️ Chưa bóc tách định mức",IF(H216&gt;=0,"✅ OK - Cho phép đặt hàng","❌ CHẶN ĐẶT HÀNG - CẦN BẢO VỆ KL")),"")</f>
        <v/>
      </c>
      <c r="K216" s="138">
        <f>IF(OR(ISNUMBER(F216),ISNUMBER(G216)),IF(ISBLANK(G216),"Kỹ sư/Thầu phụ cần bóc tách KL bản vẽ",IF(H216&gt;=0,"Được đặt hàng tối đa "&amp;G216&amp;" "&amp;E216,"Vượt dự toán "&amp;ABS(H216)&amp;" "&amp;E216&amp;" (QS giải trình &amp; duyệt sửa BOQ)")),"")</f>
        <v/>
      </c>
    </row>
    <row r="217" ht="13.8" customHeight="1" s="75">
      <c r="A217" s="80" t="n"/>
      <c r="B217" s="24" t="n"/>
      <c r="C217" s="101" t="n"/>
      <c r="D217" s="24" t="n"/>
      <c r="E217" s="24" t="n"/>
      <c r="F217" s="85" t="n"/>
      <c r="G217" s="85" t="n"/>
      <c r="H217" s="44" t="n"/>
      <c r="I217" s="137" t="n"/>
    </row>
    <row r="218" ht="15.6" customHeight="1" s="75">
      <c r="A218" s="58" t="inlineStr">
        <is>
          <t>DHKK-B-I1.2.0</t>
        </is>
      </c>
      <c r="B218" s="37" t="n">
        <v>2</v>
      </c>
      <c r="C218" s="98" t="inlineStr">
        <is>
          <t>Miệng gió, van gió</t>
        </is>
      </c>
      <c r="D218" s="24" t="n"/>
      <c r="E218" s="24" t="n"/>
      <c r="F218" s="85" t="n"/>
      <c r="G218" s="85" t="n"/>
      <c r="H218" s="44" t="n"/>
      <c r="I218" s="137" t="n"/>
    </row>
    <row r="219" ht="15.6" customHeight="1" s="75">
      <c r="A219" s="58" t="inlineStr">
        <is>
          <t>DHKK-B-I1.2.1</t>
        </is>
      </c>
      <c r="B219" s="24" t="n"/>
      <c r="C219" s="99" t="inlineStr">
        <is>
          <t>SAG 1000x150 kèm OBD</t>
        </is>
      </c>
      <c r="D219" s="61" t="inlineStr">
        <is>
          <t>Cái</t>
        </is>
      </c>
      <c r="E219" s="61" t="inlineStr">
        <is>
          <t>Cái</t>
        </is>
      </c>
      <c r="F219" s="88" t="n">
        <v>8</v>
      </c>
      <c r="G219" s="85" t="n"/>
      <c r="H219" s="42">
        <f>IF(OR(ISNUMBER(F219),ISNUMBER(G219)),N(F219)-N(G219),"")</f>
        <v/>
      </c>
      <c r="I219" s="142" t="inlineStr">
        <is>
          <t>Miệng gió loại linear kèm OBD</t>
        </is>
      </c>
      <c r="J219" s="117">
        <f>IF(OR(ISNUMBER(F219),ISNUMBER(G219)),IF(ISBLANK(G219),"⚠️ Chưa bóc tách định mức",IF(H219&gt;=0,"✅ OK - Cho phép đặt hàng","❌ CHẶN ĐẶT HÀNG - CẦN BẢO VỆ KL")),"")</f>
        <v/>
      </c>
      <c r="K219" s="138">
        <f>IF(OR(ISNUMBER(F219),ISNUMBER(G219)),IF(ISBLANK(G219),"Kỹ sư/Thầu phụ cần bóc tách KL bản vẽ",IF(H219&gt;=0,"Được đặt hàng tối đa "&amp;G219&amp;" "&amp;E219,"Vượt dự toán "&amp;ABS(H219)&amp;" "&amp;E219&amp;" (QS giải trình &amp; duyệt sửa BOQ)")),"")</f>
        <v/>
      </c>
    </row>
    <row r="220" ht="15.6" customHeight="1" s="75">
      <c r="A220" s="58" t="inlineStr">
        <is>
          <t>DHKK-B-I1.2.2</t>
        </is>
      </c>
      <c r="B220" s="24" t="n"/>
      <c r="C220" s="99" t="inlineStr">
        <is>
          <t>RAG 1000x150 kèm OBD</t>
        </is>
      </c>
      <c r="D220" s="61" t="inlineStr">
        <is>
          <t>Cái</t>
        </is>
      </c>
      <c r="E220" s="61" t="inlineStr">
        <is>
          <t>Cái</t>
        </is>
      </c>
      <c r="F220" s="88" t="n">
        <v>8</v>
      </c>
      <c r="G220" s="85" t="n"/>
      <c r="H220" s="42">
        <f>IF(OR(ISNUMBER(F220),ISNUMBER(G220)),N(F220)-N(G220),"")</f>
        <v/>
      </c>
      <c r="I220" s="142" t="inlineStr">
        <is>
          <t>Miệng gió loại linear kèm OBD</t>
        </is>
      </c>
      <c r="J220" s="117">
        <f>IF(OR(ISNUMBER(F220),ISNUMBER(G220)),IF(ISBLANK(G220),"⚠️ Chưa bóc tách định mức",IF(H220&gt;=0,"✅ OK - Cho phép đặt hàng","❌ CHẶN ĐẶT HÀNG - CẦN BẢO VỆ KL")),"")</f>
        <v/>
      </c>
      <c r="K220" s="138">
        <f>IF(OR(ISNUMBER(F220),ISNUMBER(G220)),IF(ISBLANK(G220),"Kỹ sư/Thầu phụ cần bóc tách KL bản vẽ",IF(H220&gt;=0,"Được đặt hàng tối đa "&amp;G220&amp;" "&amp;E220,"Vượt dự toán "&amp;ABS(H220)&amp;" "&amp;E220&amp;" (QS giải trình &amp; duyệt sửa BOQ)")),"")</f>
        <v/>
      </c>
    </row>
    <row r="221" ht="13.8" customHeight="1" s="75">
      <c r="A221" s="80" t="n"/>
      <c r="B221" s="24" t="n"/>
      <c r="C221" s="101" t="n"/>
      <c r="D221" s="24" t="n"/>
      <c r="E221" s="24" t="n"/>
      <c r="F221" s="85" t="n"/>
      <c r="G221" s="85" t="n"/>
      <c r="H221" s="44" t="n"/>
      <c r="I221" s="137" t="n"/>
    </row>
    <row r="222" ht="14.1" customHeight="1" s="75">
      <c r="A222" s="80" t="n"/>
      <c r="B222" s="37" t="n">
        <v>3</v>
      </c>
      <c r="C222" s="98" t="inlineStr">
        <is>
          <t>Ống gió</t>
        </is>
      </c>
      <c r="D222" s="24" t="n"/>
      <c r="E222" s="24" t="n"/>
      <c r="F222" s="85" t="n"/>
      <c r="G222" s="85" t="n"/>
      <c r="H222" s="44" t="n"/>
      <c r="I222" s="137" t="n"/>
    </row>
    <row r="223" ht="28.5" customHeight="1" s="75">
      <c r="A223" s="58" t="inlineStr">
        <is>
          <t>DHKK-B-I1.3.1</t>
        </is>
      </c>
      <c r="B223" s="24" t="n"/>
      <c r="C223" s="99" t="inlineStr">
        <is>
          <t>Ống gió tole mạ kẽm dày 0.75mm kèm tiêu âm dày 25mm</t>
        </is>
      </c>
      <c r="D223" s="61" t="inlineStr">
        <is>
          <t>m2</t>
        </is>
      </c>
      <c r="E223" s="61" t="inlineStr">
        <is>
          <t>m2</t>
        </is>
      </c>
      <c r="F223" s="88" t="n">
        <v>26</v>
      </c>
      <c r="G223" s="85" t="n"/>
      <c r="H223" s="42">
        <f>IF(OR(ISNUMBER(F223),ISNUMBER(G223)),N(F223)-N(G223),"")</f>
        <v/>
      </c>
      <c r="I223" s="143" t="inlineStr">
        <is>
          <t>Tiêu âm ống gió lạnh bằng tấm cao su lưu hóa</t>
        </is>
      </c>
      <c r="J223" s="117">
        <f>IF(OR(ISNUMBER(F223),ISNUMBER(G223)),IF(ISBLANK(G223),"⚠️ Chưa bóc tách định mức",IF(H223&gt;=0,"✅ OK - Cho phép đặt hàng","❌ CHẶN ĐẶT HÀNG - CẦN BẢO VỆ KL")),"")</f>
        <v/>
      </c>
      <c r="K223" s="138">
        <f>IF(OR(ISNUMBER(F223),ISNUMBER(G223)),IF(ISBLANK(G223),"Kỹ sư/Thầu phụ cần bóc tách KL bản vẽ",IF(H223&gt;=0,"Được đặt hàng tối đa "&amp;G223&amp;" "&amp;E223,"Vượt dự toán "&amp;ABS(H223)&amp;" "&amp;E223&amp;" (QS giải trình &amp; duyệt sửa BOQ)")),"")</f>
        <v/>
      </c>
    </row>
    <row r="224" ht="28.5" customHeight="1" s="75">
      <c r="A224" s="58" t="inlineStr">
        <is>
          <t>DHKK-B-I1.3.2</t>
        </is>
      </c>
      <c r="B224" s="24" t="n"/>
      <c r="C224" s="99" t="inlineStr">
        <is>
          <t>Ống gió tole mạ kẽm dày 0.58mm kèm cách nhiệt ngoài dày 25mm</t>
        </is>
      </c>
      <c r="D224" s="61" t="inlineStr">
        <is>
          <t>m2</t>
        </is>
      </c>
      <c r="E224" s="61" t="inlineStr">
        <is>
          <t>m2</t>
        </is>
      </c>
      <c r="F224" s="88" t="n">
        <v>54</v>
      </c>
      <c r="G224" s="85" t="n"/>
      <c r="H224" s="42">
        <f>IF(OR(ISNUMBER(F224),ISNUMBER(G224)),N(F224)-N(G224),"")</f>
        <v/>
      </c>
      <c r="I224" s="143" t="inlineStr">
        <is>
          <t>Cách nhiệt ống gió lạnh bằng tấm cao su lưu hóa</t>
        </is>
      </c>
      <c r="J224" s="117">
        <f>IF(OR(ISNUMBER(F224),ISNUMBER(G224)),IF(ISBLANK(G224),"⚠️ Chưa bóc tách định mức",IF(H224&gt;=0,"✅ OK - Cho phép đặt hàng","❌ CHẶN ĐẶT HÀNG - CẦN BẢO VỆ KL")),"")</f>
        <v/>
      </c>
      <c r="K224" s="138">
        <f>IF(OR(ISNUMBER(F224),ISNUMBER(G224)),IF(ISBLANK(G224),"Kỹ sư/Thầu phụ cần bóc tách KL bản vẽ",IF(H224&gt;=0,"Được đặt hàng tối đa "&amp;G224&amp;" "&amp;E224,"Vượt dự toán "&amp;ABS(H224)&amp;" "&amp;E224&amp;" (QS giải trình &amp; duyệt sửa BOQ)")),"")</f>
        <v/>
      </c>
    </row>
    <row r="225" ht="28.5" customHeight="1" s="75">
      <c r="A225" s="58" t="inlineStr">
        <is>
          <t>DHKK-B-I1.3.3</t>
        </is>
      </c>
      <c r="B225" s="24" t="n"/>
      <c r="C225" s="99" t="inlineStr">
        <is>
          <t>Ống gió tole mạ kẽm dày 0.75mm kèm cách nhiệt ngoài dày 25mm</t>
        </is>
      </c>
      <c r="D225" s="61" t="inlineStr">
        <is>
          <t>m2</t>
        </is>
      </c>
      <c r="E225" s="61" t="inlineStr">
        <is>
          <t>m2</t>
        </is>
      </c>
      <c r="F225" s="88" t="n">
        <v>19</v>
      </c>
      <c r="G225" s="85" t="n"/>
      <c r="H225" s="42">
        <f>IF(OR(ISNUMBER(F225),ISNUMBER(G225)),N(F225)-N(G225),"")</f>
        <v/>
      </c>
      <c r="I225" s="143" t="inlineStr">
        <is>
          <t>Cách nhiệt ống gió lạnh bằng tấm cao su lưu hóa</t>
        </is>
      </c>
      <c r="J225" s="117">
        <f>IF(OR(ISNUMBER(F225),ISNUMBER(G225)),IF(ISBLANK(G225),"⚠️ Chưa bóc tách định mức",IF(H225&gt;=0,"✅ OK - Cho phép đặt hàng","❌ CHẶN ĐẶT HÀNG - CẦN BẢO VỆ KL")),"")</f>
        <v/>
      </c>
      <c r="K225" s="138">
        <f>IF(OR(ISNUMBER(F225),ISNUMBER(G225)),IF(ISBLANK(G225),"Kỹ sư/Thầu phụ cần bóc tách KL bản vẽ",IF(H225&gt;=0,"Được đặt hàng tối đa "&amp;G225&amp;" "&amp;E225,"Vượt dự toán "&amp;ABS(H225)&amp;" "&amp;E225&amp;" (QS giải trình &amp; duyệt sửa BOQ)")),"")</f>
        <v/>
      </c>
    </row>
    <row r="226" ht="15.6" customHeight="1" s="75">
      <c r="A226" s="58" t="inlineStr">
        <is>
          <t>DHKK-B-I1.3.4</t>
        </is>
      </c>
      <c r="B226" s="24" t="n"/>
      <c r="C226" s="99" t="inlineStr">
        <is>
          <t>Ống gió mềm cách nhiệt D200</t>
        </is>
      </c>
      <c r="D226" s="61" t="inlineStr">
        <is>
          <t>m</t>
        </is>
      </c>
      <c r="E226" s="61" t="inlineStr">
        <is>
          <t>m</t>
        </is>
      </c>
      <c r="F226" s="88" t="n">
        <v>80</v>
      </c>
      <c r="G226" s="85" t="n"/>
      <c r="H226" s="42">
        <f>IF(OR(ISNUMBER(F226),ISNUMBER(G226)),N(F226)-N(G226),"")</f>
        <v/>
      </c>
      <c r="I226" s="137" t="n"/>
      <c r="J226" s="117">
        <f>IF(OR(ISNUMBER(F226),ISNUMBER(G226)),IF(ISBLANK(G226),"⚠️ Chưa bóc tách định mức",IF(H226&gt;=0,"✅ OK - Cho phép đặt hàng","❌ CHẶN ĐẶT HÀNG - CẦN BẢO VỆ KL")),"")</f>
        <v/>
      </c>
      <c r="K226" s="138">
        <f>IF(OR(ISNUMBER(F226),ISNUMBER(G226)),IF(ISBLANK(G226),"Kỹ sư/Thầu phụ cần bóc tách KL bản vẽ",IF(H226&gt;=0,"Được đặt hàng tối đa "&amp;G226&amp;" "&amp;E226,"Vượt dự toán "&amp;ABS(H226)&amp;" "&amp;E226&amp;" (QS giải trình &amp; duyệt sửa BOQ)")),"")</f>
        <v/>
      </c>
    </row>
    <row r="227" ht="13.8" customHeight="1" s="75">
      <c r="A227" s="80" t="n"/>
      <c r="B227" s="24" t="n"/>
      <c r="C227" s="101" t="n"/>
      <c r="D227" s="24" t="n"/>
      <c r="E227" s="24" t="n"/>
      <c r="F227" s="85" t="n"/>
      <c r="G227" s="85" t="n"/>
      <c r="H227" s="44" t="n"/>
      <c r="I227" s="137" t="n"/>
    </row>
    <row r="228" ht="15.6" customHeight="1" s="75">
      <c r="A228" s="58" t="inlineStr">
        <is>
          <t>DHKK-B-I1.4</t>
        </is>
      </c>
      <c r="B228" s="37" t="n">
        <v>4</v>
      </c>
      <c r="C228" s="98" t="inlineStr">
        <is>
          <t>Ống đồng và phụ kiện</t>
        </is>
      </c>
      <c r="D228" s="24" t="n"/>
      <c r="E228" s="24" t="n"/>
      <c r="F228" s="85" t="n"/>
      <c r="G228" s="85" t="n"/>
      <c r="H228" s="44" t="n"/>
      <c r="I228" s="137" t="n"/>
    </row>
    <row r="229" ht="15.6" customHeight="1" s="75">
      <c r="A229" s="58" t="inlineStr">
        <is>
          <t>DHKK-B-I1.4.1.0</t>
        </is>
      </c>
      <c r="B229" s="148" t="n">
        <v>46026</v>
      </c>
      <c r="C229" s="98" t="inlineStr">
        <is>
          <t>Ống đồng</t>
        </is>
      </c>
      <c r="D229" s="24" t="n"/>
      <c r="E229" s="24" t="n"/>
      <c r="F229" s="85" t="n"/>
      <c r="G229" s="85" t="n"/>
      <c r="H229" s="44" t="n"/>
      <c r="I229" s="137" t="n"/>
    </row>
    <row r="230" ht="15.6" customHeight="1" s="75">
      <c r="A230" s="58" t="inlineStr">
        <is>
          <t>DHKK-B-I1.4.1.1</t>
        </is>
      </c>
      <c r="B230" s="24" t="n"/>
      <c r="C230" s="99" t="inlineStr">
        <is>
          <t>Ống đồng Ø9.5 dày 0.81mm</t>
        </is>
      </c>
      <c r="D230" s="61" t="inlineStr">
        <is>
          <t>m</t>
        </is>
      </c>
      <c r="E230" s="61" t="inlineStr">
        <is>
          <t>m</t>
        </is>
      </c>
      <c r="F230" s="88" t="n">
        <v>293</v>
      </c>
      <c r="G230" s="85" t="n"/>
      <c r="H230" s="42">
        <f>IF(OR(ISNUMBER(F230),ISNUMBER(G230)),N(F230)-N(G230),"")</f>
        <v/>
      </c>
      <c r="I230" s="142" t="inlineStr">
        <is>
          <t>Không bao gồm ống đồng cho khu nhà trẻ</t>
        </is>
      </c>
      <c r="J230" s="117">
        <f>IF(OR(ISNUMBER(F230),ISNUMBER(G230)),IF(ISBLANK(G230),"⚠️ Chưa bóc tách định mức",IF(H230&gt;=0,"✅ OK - Cho phép đặt hàng","❌ CHẶN ĐẶT HÀNG - CẦN BẢO VỆ KL")),"")</f>
        <v/>
      </c>
      <c r="K230" s="138">
        <f>IF(OR(ISNUMBER(F230),ISNUMBER(G230)),IF(ISBLANK(G230),"Kỹ sư/Thầu phụ cần bóc tách KL bản vẽ",IF(H230&gt;=0,"Được đặt hàng tối đa "&amp;G230&amp;" "&amp;E230,"Vượt dự toán "&amp;ABS(H230)&amp;" "&amp;E230&amp;" (QS giải trình &amp; duyệt sửa BOQ)")),"")</f>
        <v/>
      </c>
    </row>
    <row r="231" ht="15.6" customHeight="1" s="75">
      <c r="A231" s="58" t="inlineStr">
        <is>
          <t>DHKK-B-I1.4.1.2</t>
        </is>
      </c>
      <c r="B231" s="24" t="n"/>
      <c r="C231" s="99" t="inlineStr">
        <is>
          <t>Ống đồng Ø15.9 dày 1.02mm</t>
        </is>
      </c>
      <c r="D231" s="61" t="inlineStr">
        <is>
          <t>m</t>
        </is>
      </c>
      <c r="E231" s="61" t="inlineStr">
        <is>
          <t>m</t>
        </is>
      </c>
      <c r="F231" s="88" t="n">
        <v>293</v>
      </c>
      <c r="G231" s="85" t="n"/>
      <c r="H231" s="42">
        <f>IF(OR(ISNUMBER(F231),ISNUMBER(G231)),N(F231)-N(G231),"")</f>
        <v/>
      </c>
      <c r="I231" s="142" t="inlineStr">
        <is>
          <t>Không bao gồm ống đồng cho khu nhà trẻ</t>
        </is>
      </c>
      <c r="J231" s="117">
        <f>IF(OR(ISNUMBER(F231),ISNUMBER(G231)),IF(ISBLANK(G231),"⚠️ Chưa bóc tách định mức",IF(H231&gt;=0,"✅ OK - Cho phép đặt hàng","❌ CHẶN ĐẶT HÀNG - CẦN BẢO VỆ KL")),"")</f>
        <v/>
      </c>
      <c r="K231" s="138">
        <f>IF(OR(ISNUMBER(F231),ISNUMBER(G231)),IF(ISBLANK(G231),"Kỹ sư/Thầu phụ cần bóc tách KL bản vẽ",IF(H231&gt;=0,"Được đặt hàng tối đa "&amp;G231&amp;" "&amp;E231,"Vượt dự toán "&amp;ABS(H231)&amp;" "&amp;E231&amp;" (QS giải trình &amp; duyệt sửa BOQ)")),"")</f>
        <v/>
      </c>
    </row>
    <row r="232" ht="13.8" customHeight="1" s="75">
      <c r="A232" s="80" t="n"/>
      <c r="B232" s="24" t="n"/>
      <c r="C232" s="101" t="n"/>
      <c r="D232" s="24" t="n"/>
      <c r="E232" s="24" t="n"/>
      <c r="F232" s="85" t="n"/>
      <c r="G232" s="85" t="n"/>
      <c r="H232" s="44" t="n"/>
      <c r="I232" s="137" t="n"/>
    </row>
    <row r="233" ht="15.6" customHeight="1" s="75">
      <c r="A233" s="58" t="inlineStr">
        <is>
          <t>DHKK-B-I1.4.2.0</t>
        </is>
      </c>
      <c r="B233" s="148" t="n">
        <v>46057</v>
      </c>
      <c r="C233" s="98" t="inlineStr">
        <is>
          <t>Cách nhiệt ống đồng</t>
        </is>
      </c>
      <c r="D233" s="24" t="n"/>
      <c r="E233" s="24" t="n"/>
      <c r="F233" s="85" t="n"/>
      <c r="G233" s="85" t="n"/>
      <c r="H233" s="44" t="n"/>
      <c r="I233" s="137" t="n"/>
    </row>
    <row r="234" ht="15.6" customHeight="1" s="75">
      <c r="A234" s="58" t="inlineStr">
        <is>
          <t>DHKK-B-I1.4.2.1</t>
        </is>
      </c>
      <c r="B234" s="24" t="n"/>
      <c r="C234" s="99" t="inlineStr">
        <is>
          <t>Bảo ôn ống đồng Ø9.5 dày 13mm</t>
        </is>
      </c>
      <c r="D234" s="61" t="inlineStr">
        <is>
          <t>m</t>
        </is>
      </c>
      <c r="E234" s="61" t="inlineStr">
        <is>
          <t>m</t>
        </is>
      </c>
      <c r="F234" s="88" t="n">
        <v>293</v>
      </c>
      <c r="G234" s="85" t="n"/>
      <c r="H234" s="42">
        <f>IF(OR(ISNUMBER(F234),ISNUMBER(G234)),N(F234)-N(G234),"")</f>
        <v/>
      </c>
      <c r="I234" s="142" t="inlineStr">
        <is>
          <t>Không bao gồm bảo ôn ống đồng cho khu nhà trẻ</t>
        </is>
      </c>
      <c r="J234" s="117">
        <f>IF(OR(ISNUMBER(F234),ISNUMBER(G234)),IF(ISBLANK(G234),"⚠️ Chưa bóc tách định mức",IF(H234&gt;=0,"✅ OK - Cho phép đặt hàng","❌ CHẶN ĐẶT HÀNG - CẦN BẢO VỆ KL")),"")</f>
        <v/>
      </c>
      <c r="K234" s="138">
        <f>IF(OR(ISNUMBER(F234),ISNUMBER(G234)),IF(ISBLANK(G234),"Kỹ sư/Thầu phụ cần bóc tách KL bản vẽ",IF(H234&gt;=0,"Được đặt hàng tối đa "&amp;G234&amp;" "&amp;E234,"Vượt dự toán "&amp;ABS(H234)&amp;" "&amp;E234&amp;" (QS giải trình &amp; duyệt sửa BOQ)")),"")</f>
        <v/>
      </c>
    </row>
    <row r="235" ht="15.6" customHeight="1" s="75">
      <c r="A235" s="58" t="inlineStr">
        <is>
          <t>DHKK-B-I1.4.2.2</t>
        </is>
      </c>
      <c r="B235" s="24" t="n"/>
      <c r="C235" s="99" t="inlineStr">
        <is>
          <t>Bảo ôn ống đồng Ø15.9 dày 13mm</t>
        </is>
      </c>
      <c r="D235" s="61" t="inlineStr">
        <is>
          <t>m</t>
        </is>
      </c>
      <c r="E235" s="61" t="inlineStr">
        <is>
          <t>m</t>
        </is>
      </c>
      <c r="F235" s="88" t="n">
        <v>293</v>
      </c>
      <c r="G235" s="85" t="n"/>
      <c r="H235" s="42">
        <f>IF(OR(ISNUMBER(F235),ISNUMBER(G235)),N(F235)-N(G235),"")</f>
        <v/>
      </c>
      <c r="I235" s="142" t="inlineStr">
        <is>
          <t>Không bao gồm bảo ôn ống đồng cho khu nhà trẻ</t>
        </is>
      </c>
      <c r="J235" s="117">
        <f>IF(OR(ISNUMBER(F235),ISNUMBER(G235)),IF(ISBLANK(G235),"⚠️ Chưa bóc tách định mức",IF(H235&gt;=0,"✅ OK - Cho phép đặt hàng","❌ CHẶN ĐẶT HÀNG - CẦN BẢO VỆ KL")),"")</f>
        <v/>
      </c>
      <c r="K235" s="138">
        <f>IF(OR(ISNUMBER(F235),ISNUMBER(G235)),IF(ISBLANK(G235),"Kỹ sư/Thầu phụ cần bóc tách KL bản vẽ",IF(H235&gt;=0,"Được đặt hàng tối đa "&amp;G235&amp;" "&amp;E235,"Vượt dự toán "&amp;ABS(H235)&amp;" "&amp;E235&amp;" (QS giải trình &amp; duyệt sửa BOQ)")),"")</f>
        <v/>
      </c>
    </row>
    <row r="236" ht="13.8" customHeight="1" s="75">
      <c r="A236" s="80" t="n"/>
      <c r="B236" s="24" t="n"/>
      <c r="C236" s="101" t="n"/>
      <c r="D236" s="24" t="n"/>
      <c r="E236" s="24" t="n"/>
      <c r="F236" s="85" t="n"/>
      <c r="G236" s="85" t="n"/>
      <c r="H236" s="44" t="n"/>
      <c r="I236" s="137" t="n"/>
    </row>
    <row r="237" ht="13.8" customHeight="1" s="75">
      <c r="A237" s="80" t="n"/>
      <c r="B237" s="24" t="n"/>
      <c r="C237" s="101" t="n"/>
      <c r="D237" s="24" t="n"/>
      <c r="E237" s="24" t="n"/>
      <c r="F237" s="85" t="n"/>
      <c r="G237" s="85" t="n"/>
      <c r="H237" s="44" t="n"/>
      <c r="I237" s="137" t="n"/>
    </row>
    <row r="238" ht="15.6" customHeight="1" s="75">
      <c r="A238" s="58" t="inlineStr">
        <is>
          <t>DHKK-B-I1.5.0</t>
        </is>
      </c>
      <c r="B238" s="37" t="n">
        <v>5</v>
      </c>
      <c r="C238" s="98" t="inlineStr">
        <is>
          <t>Ống nước ngưng và phụ kiện</t>
        </is>
      </c>
      <c r="D238" s="24" t="n"/>
      <c r="E238" s="24" t="n"/>
      <c r="F238" s="85" t="n"/>
      <c r="G238" s="85" t="n"/>
      <c r="H238" s="44" t="n"/>
      <c r="I238" s="137" t="n"/>
    </row>
    <row r="239" ht="15.6" customHeight="1" s="75">
      <c r="A239" s="58" t="inlineStr">
        <is>
          <t>DHKK-B-I1.5.1.0</t>
        </is>
      </c>
      <c r="B239" s="148" t="n">
        <v>46027</v>
      </c>
      <c r="C239" s="98" t="inlineStr">
        <is>
          <t>Ống nước ngưng</t>
        </is>
      </c>
      <c r="D239" s="24" t="n"/>
      <c r="E239" s="24" t="n"/>
      <c r="F239" s="85" t="n"/>
      <c r="G239" s="85" t="n"/>
      <c r="H239" s="44" t="n"/>
      <c r="I239" s="137" t="n"/>
    </row>
    <row r="240" ht="15.6" customHeight="1" s="75">
      <c r="A240" s="58" t="inlineStr">
        <is>
          <t>DHKK-B-I1.5.1.1</t>
        </is>
      </c>
      <c r="B240" s="24" t="n"/>
      <c r="C240" s="99" t="inlineStr">
        <is>
          <t>Ống thoát nước ngưng uPVC Ø27</t>
        </is>
      </c>
      <c r="D240" s="61" t="inlineStr">
        <is>
          <t>m</t>
        </is>
      </c>
      <c r="E240" s="61" t="inlineStr">
        <is>
          <t>m</t>
        </is>
      </c>
      <c r="F240" s="88" t="n">
        <v>201</v>
      </c>
      <c r="G240" s="85" t="n"/>
      <c r="H240" s="42">
        <f>IF(OR(ISNUMBER(F240),ISNUMBER(G240)),N(F240)-N(G240),"")</f>
        <v/>
      </c>
      <c r="I240" s="137" t="n"/>
      <c r="J240" s="117">
        <f>IF(OR(ISNUMBER(F240),ISNUMBER(G240)),IF(ISBLANK(G240),"⚠️ Chưa bóc tách định mức",IF(H240&gt;=0,"✅ OK - Cho phép đặt hàng","❌ CHẶN ĐẶT HÀNG - CẦN BẢO VỆ KL")),"")</f>
        <v/>
      </c>
      <c r="K240" s="138">
        <f>IF(OR(ISNUMBER(F240),ISNUMBER(G240)),IF(ISBLANK(G240),"Kỹ sư/Thầu phụ cần bóc tách KL bản vẽ",IF(H240&gt;=0,"Được đặt hàng tối đa "&amp;G240&amp;" "&amp;E240,"Vượt dự toán "&amp;ABS(H240)&amp;" "&amp;E240&amp;" (QS giải trình &amp; duyệt sửa BOQ)")),"")</f>
        <v/>
      </c>
    </row>
    <row r="241" ht="15.6" customHeight="1" s="75">
      <c r="A241" s="58" t="inlineStr">
        <is>
          <t>DHKK-B-I1.5.1.2</t>
        </is>
      </c>
      <c r="B241" s="24" t="n"/>
      <c r="C241" s="99" t="inlineStr">
        <is>
          <t>Ống thoát nước ngưng uPVC Ø34</t>
        </is>
      </c>
      <c r="D241" s="61" t="inlineStr">
        <is>
          <t>m</t>
        </is>
      </c>
      <c r="E241" s="61" t="inlineStr">
        <is>
          <t>m</t>
        </is>
      </c>
      <c r="F241" s="88" t="n">
        <v>207</v>
      </c>
      <c r="G241" s="85" t="n"/>
      <c r="H241" s="42">
        <f>IF(OR(ISNUMBER(F241),ISNUMBER(G241)),N(F241)-N(G241),"")</f>
        <v/>
      </c>
      <c r="I241" s="137" t="n"/>
      <c r="J241" s="117">
        <f>IF(OR(ISNUMBER(F241),ISNUMBER(G241)),IF(ISBLANK(G241),"⚠️ Chưa bóc tách định mức",IF(H241&gt;=0,"✅ OK - Cho phép đặt hàng","❌ CHẶN ĐẶT HÀNG - CẦN BẢO VỆ KL")),"")</f>
        <v/>
      </c>
      <c r="K241" s="138">
        <f>IF(OR(ISNUMBER(F241),ISNUMBER(G241)),IF(ISBLANK(G241),"Kỹ sư/Thầu phụ cần bóc tách KL bản vẽ",IF(H241&gt;=0,"Được đặt hàng tối đa "&amp;G241&amp;" "&amp;E241,"Vượt dự toán "&amp;ABS(H241)&amp;" "&amp;E241&amp;" (QS giải trình &amp; duyệt sửa BOQ)")),"")</f>
        <v/>
      </c>
    </row>
    <row r="242" ht="15.6" customHeight="1" s="75">
      <c r="A242" s="58" t="inlineStr">
        <is>
          <t>DHKK-B-I1.5.1.3</t>
        </is>
      </c>
      <c r="B242" s="24" t="n"/>
      <c r="C242" s="99" t="inlineStr">
        <is>
          <t>Ống thoát nước ngưng uPVC Ø42</t>
        </is>
      </c>
      <c r="D242" s="61" t="inlineStr">
        <is>
          <t>m</t>
        </is>
      </c>
      <c r="E242" s="61" t="inlineStr">
        <is>
          <t>m</t>
        </is>
      </c>
      <c r="F242" s="88" t="n">
        <v>245</v>
      </c>
      <c r="G242" s="85" t="n"/>
      <c r="H242" s="42">
        <f>IF(OR(ISNUMBER(F242),ISNUMBER(G242)),N(F242)-N(G242),"")</f>
        <v/>
      </c>
      <c r="I242" s="137" t="n"/>
      <c r="J242" s="117">
        <f>IF(OR(ISNUMBER(F242),ISNUMBER(G242)),IF(ISBLANK(G242),"⚠️ Chưa bóc tách định mức",IF(H242&gt;=0,"✅ OK - Cho phép đặt hàng","❌ CHẶN ĐẶT HÀNG - CẦN BẢO VỆ KL")),"")</f>
        <v/>
      </c>
      <c r="K242" s="138">
        <f>IF(OR(ISNUMBER(F242),ISNUMBER(G242)),IF(ISBLANK(G242),"Kỹ sư/Thầu phụ cần bóc tách KL bản vẽ",IF(H242&gt;=0,"Được đặt hàng tối đa "&amp;G242&amp;" "&amp;E242,"Vượt dự toán "&amp;ABS(H242)&amp;" "&amp;E242&amp;" (QS giải trình &amp; duyệt sửa BOQ)")),"")</f>
        <v/>
      </c>
    </row>
    <row r="243" ht="15.6" customHeight="1" s="75">
      <c r="A243" s="58" t="inlineStr">
        <is>
          <t>DHKK-B-I1.5.1.4</t>
        </is>
      </c>
      <c r="B243" s="24" t="n"/>
      <c r="C243" s="99" t="inlineStr">
        <is>
          <t>Ống thoát nước ngưng uPVC Ø60</t>
        </is>
      </c>
      <c r="D243" s="61" t="inlineStr">
        <is>
          <t>m</t>
        </is>
      </c>
      <c r="E243" s="61" t="inlineStr">
        <is>
          <t>m</t>
        </is>
      </c>
      <c r="F243" s="88" t="n">
        <v>0</v>
      </c>
      <c r="G243" s="85" t="n"/>
      <c r="H243" s="44">
        <f>IF(OR(ISNUMBER(F243),ISNUMBER(G243)),N(F243)-N(G243),"")</f>
        <v/>
      </c>
      <c r="I243" s="137" t="n"/>
      <c r="J243" s="117">
        <f>IF(OR(ISNUMBER(F243),ISNUMBER(G243)),IF(ISBLANK(G243),"⚠️ Chưa bóc tách định mức",IF(H243&gt;=0,"✅ OK - Cho phép đặt hàng","❌ CHẶN ĐẶT HÀNG - CẦN BẢO VỆ KL")),"")</f>
        <v/>
      </c>
      <c r="K243" s="138">
        <f>IF(OR(ISNUMBER(F243),ISNUMBER(G243)),IF(ISBLANK(G243),"Kỹ sư/Thầu phụ cần bóc tách KL bản vẽ",IF(H243&gt;=0,"Được đặt hàng tối đa "&amp;G243&amp;" "&amp;E243,"Vượt dự toán "&amp;ABS(H243)&amp;" "&amp;E243&amp;" (QS giải trình &amp; duyệt sửa BOQ)")),"")</f>
        <v/>
      </c>
    </row>
    <row r="244" ht="15.6" customHeight="1" s="75">
      <c r="A244" s="58" t="inlineStr">
        <is>
          <t>DHKK-B-I1.5.1.5</t>
        </is>
      </c>
      <c r="B244" s="24" t="n"/>
      <c r="C244" s="99" t="inlineStr">
        <is>
          <t>Ống thoát nước ngưng uPVC Ø90</t>
        </is>
      </c>
      <c r="D244" s="61" t="inlineStr">
        <is>
          <t>m</t>
        </is>
      </c>
      <c r="E244" s="61" t="inlineStr">
        <is>
          <t>m</t>
        </is>
      </c>
      <c r="F244" s="88" t="n">
        <v>77</v>
      </c>
      <c r="G244" s="85" t="n"/>
      <c r="H244" s="42">
        <f>IF(OR(ISNUMBER(F244),ISNUMBER(G244)),N(F244)-N(G244),"")</f>
        <v/>
      </c>
      <c r="I244" s="137" t="n"/>
      <c r="J244" s="117">
        <f>IF(OR(ISNUMBER(F244),ISNUMBER(G244)),IF(ISBLANK(G244),"⚠️ Chưa bóc tách định mức",IF(H244&gt;=0,"✅ OK - Cho phép đặt hàng","❌ CHẶN ĐẶT HÀNG - CẦN BẢO VỆ KL")),"")</f>
        <v/>
      </c>
      <c r="K244" s="138">
        <f>IF(OR(ISNUMBER(F244),ISNUMBER(G244)),IF(ISBLANK(G244),"Kỹ sư/Thầu phụ cần bóc tách KL bản vẽ",IF(H244&gt;=0,"Được đặt hàng tối đa "&amp;G244&amp;" "&amp;E244,"Vượt dự toán "&amp;ABS(H244)&amp;" "&amp;E244&amp;" (QS giải trình &amp; duyệt sửa BOQ)")),"")</f>
        <v/>
      </c>
    </row>
    <row r="245" ht="15.6" customHeight="1" s="75">
      <c r="A245" s="58" t="inlineStr">
        <is>
          <t>DHKK-B-I1.5.1.6</t>
        </is>
      </c>
      <c r="B245" s="24" t="n"/>
      <c r="C245" s="99" t="inlineStr">
        <is>
          <t>Ống thoát nước ngưng uPVC Ø114</t>
        </is>
      </c>
      <c r="D245" s="61" t="inlineStr">
        <is>
          <t>m</t>
        </is>
      </c>
      <c r="E245" s="61" t="inlineStr">
        <is>
          <t>m</t>
        </is>
      </c>
      <c r="F245" s="88" t="n">
        <v>47</v>
      </c>
      <c r="G245" s="85" t="n"/>
      <c r="H245" s="42">
        <f>IF(OR(ISNUMBER(F245),ISNUMBER(G245)),N(F245)-N(G245),"")</f>
        <v/>
      </c>
      <c r="I245" s="137" t="n"/>
      <c r="J245" s="117">
        <f>IF(OR(ISNUMBER(F245),ISNUMBER(G245)),IF(ISBLANK(G245),"⚠️ Chưa bóc tách định mức",IF(H245&gt;=0,"✅ OK - Cho phép đặt hàng","❌ CHẶN ĐẶT HÀNG - CẦN BẢO VỆ KL")),"")</f>
        <v/>
      </c>
      <c r="K245" s="138">
        <f>IF(OR(ISNUMBER(F245),ISNUMBER(G245)),IF(ISBLANK(G245),"Kỹ sư/Thầu phụ cần bóc tách KL bản vẽ",IF(H245&gt;=0,"Được đặt hàng tối đa "&amp;G245&amp;" "&amp;E245,"Vượt dự toán "&amp;ABS(H245)&amp;" "&amp;E245&amp;" (QS giải trình &amp; duyệt sửa BOQ)")),"")</f>
        <v/>
      </c>
    </row>
    <row r="246" ht="15.6" customHeight="1" s="75">
      <c r="A246" s="58" t="inlineStr">
        <is>
          <t>DHKK-B-I1.5.1.7</t>
        </is>
      </c>
      <c r="B246" s="24" t="n"/>
      <c r="C246" s="99" t="inlineStr">
        <is>
          <t>Phụ kiện ống uPVC 1</t>
        </is>
      </c>
      <c r="D246" s="61" t="inlineStr">
        <is>
          <t>Lô</t>
        </is>
      </c>
      <c r="E246" s="61" t="inlineStr">
        <is>
          <t>Lô</t>
        </is>
      </c>
      <c r="F246" s="88" t="n">
        <v>1</v>
      </c>
      <c r="G246" s="85" t="n"/>
      <c r="H246" s="42">
        <f>IF(OR(ISNUMBER(F246),ISNUMBER(G246)),N(F246)-N(G246),"")</f>
        <v/>
      </c>
      <c r="I246" s="137" t="n"/>
      <c r="J246" s="117">
        <f>IF(OR(ISNUMBER(F246),ISNUMBER(G246)),IF(ISBLANK(G246),"⚠️ Chưa bóc tách định mức",IF(H246&gt;=0,"✅ OK - Cho phép đặt hàng","❌ CHẶN ĐẶT HÀNG - CẦN BẢO VỆ KL")),"")</f>
        <v/>
      </c>
      <c r="K246" s="138">
        <f>IF(OR(ISNUMBER(F246),ISNUMBER(G246)),IF(ISBLANK(G246),"Kỹ sư/Thầu phụ cần bóc tách KL bản vẽ",IF(H246&gt;=0,"Được đặt hàng tối đa "&amp;G246&amp;" "&amp;E246,"Vượt dự toán "&amp;ABS(H246)&amp;" "&amp;E246&amp;" (QS giải trình &amp; duyệt sửa BOQ)")),"")</f>
        <v/>
      </c>
    </row>
    <row r="247" ht="15.6" customHeight="1" s="75">
      <c r="A247" s="58" t="inlineStr">
        <is>
          <t>DHKK-B-I1.5.1.8</t>
        </is>
      </c>
      <c r="B247" s="24" t="n"/>
      <c r="C247" s="99" t="inlineStr">
        <is>
          <t>Phụ kiện ống uPVC 2</t>
        </is>
      </c>
      <c r="D247" s="61" t="inlineStr">
        <is>
          <t>Lô</t>
        </is>
      </c>
      <c r="E247" s="61" t="inlineStr">
        <is>
          <t>Lô</t>
        </is>
      </c>
      <c r="F247" s="88" t="n">
        <v>0</v>
      </c>
      <c r="G247" s="85" t="n"/>
      <c r="H247" s="44">
        <f>IF(OR(ISNUMBER(F247),ISNUMBER(G247)),N(F247)-N(G247),"")</f>
        <v/>
      </c>
      <c r="I247" s="137" t="n"/>
      <c r="J247" s="117">
        <f>IF(OR(ISNUMBER(F247),ISNUMBER(G247)),IF(ISBLANK(G247),"⚠️ Chưa bóc tách định mức",IF(H247&gt;=0,"✅ OK - Cho phép đặt hàng","❌ CHẶN ĐẶT HÀNG - CẦN BẢO VỆ KL")),"")</f>
        <v/>
      </c>
      <c r="K247" s="138">
        <f>IF(OR(ISNUMBER(F247),ISNUMBER(G247)),IF(ISBLANK(G247),"Kỹ sư/Thầu phụ cần bóc tách KL bản vẽ",IF(H247&gt;=0,"Được đặt hàng tối đa "&amp;G247&amp;" "&amp;E247,"Vượt dự toán "&amp;ABS(H247)&amp;" "&amp;E247&amp;" (QS giải trình &amp; duyệt sửa BOQ)")),"")</f>
        <v/>
      </c>
    </row>
    <row r="248" ht="13.8" customHeight="1" s="75">
      <c r="A248" s="80" t="n"/>
      <c r="B248" s="24" t="n"/>
      <c r="C248" s="101" t="n"/>
      <c r="D248" s="24" t="n"/>
      <c r="E248" s="24" t="n"/>
      <c r="F248" s="85" t="n"/>
      <c r="G248" s="85" t="n"/>
      <c r="H248" s="44" t="n"/>
      <c r="I248" s="137" t="n"/>
    </row>
    <row r="249" ht="15.6" customHeight="1" s="75">
      <c r="A249" s="58" t="inlineStr">
        <is>
          <t>DHKK-B-I1.5.2.0</t>
        </is>
      </c>
      <c r="B249" s="148" t="n">
        <v>46058</v>
      </c>
      <c r="C249" s="98" t="inlineStr">
        <is>
          <t>Cách nhiệt ống nước ngưng</t>
        </is>
      </c>
      <c r="D249" s="24" t="n"/>
      <c r="E249" s="24" t="n"/>
      <c r="F249" s="85" t="n"/>
      <c r="G249" s="85" t="n"/>
      <c r="H249" s="44" t="n"/>
      <c r="I249" s="137" t="n"/>
    </row>
    <row r="250" ht="15.6" customHeight="1" s="75">
      <c r="A250" s="58" t="inlineStr">
        <is>
          <t>DHKK-B-I1.5.2.1</t>
        </is>
      </c>
      <c r="B250" s="24" t="n"/>
      <c r="C250" s="99" t="inlineStr">
        <is>
          <t>Bảo ôn ống nước ngưng Ø27 dày 13mm</t>
        </is>
      </c>
      <c r="D250" s="61" t="inlineStr">
        <is>
          <t>m</t>
        </is>
      </c>
      <c r="E250" s="61" t="inlineStr">
        <is>
          <t>m</t>
        </is>
      </c>
      <c r="F250" s="88" t="n">
        <v>201</v>
      </c>
      <c r="G250" s="85" t="n"/>
      <c r="H250" s="42">
        <f>IF(OR(ISNUMBER(F250),ISNUMBER(G250)),N(F250)-N(G250),"")</f>
        <v/>
      </c>
      <c r="I250" s="137" t="n"/>
      <c r="J250" s="117">
        <f>IF(OR(ISNUMBER(F250),ISNUMBER(G250)),IF(ISBLANK(G250),"⚠️ Chưa bóc tách định mức",IF(H250&gt;=0,"✅ OK - Cho phép đặt hàng","❌ CHẶN ĐẶT HÀNG - CẦN BẢO VỆ KL")),"")</f>
        <v/>
      </c>
      <c r="K250" s="138">
        <f>IF(OR(ISNUMBER(F250),ISNUMBER(G250)),IF(ISBLANK(G250),"Kỹ sư/Thầu phụ cần bóc tách KL bản vẽ",IF(H250&gt;=0,"Được đặt hàng tối đa "&amp;G250&amp;" "&amp;E250,"Vượt dự toán "&amp;ABS(H250)&amp;" "&amp;E250&amp;" (QS giải trình &amp; duyệt sửa BOQ)")),"")</f>
        <v/>
      </c>
    </row>
    <row r="251" ht="15.6" customHeight="1" s="75">
      <c r="A251" s="58" t="inlineStr">
        <is>
          <t>DHKK-B-I1.5.2.2</t>
        </is>
      </c>
      <c r="B251" s="24" t="n"/>
      <c r="C251" s="99" t="inlineStr">
        <is>
          <t>Bảo ôn ống nước ngưng Ø34 dày 13mm</t>
        </is>
      </c>
      <c r="D251" s="61" t="inlineStr">
        <is>
          <t>m</t>
        </is>
      </c>
      <c r="E251" s="61" t="inlineStr">
        <is>
          <t>m</t>
        </is>
      </c>
      <c r="F251" s="88" t="n">
        <v>207</v>
      </c>
      <c r="G251" s="85" t="n">
        <v>16</v>
      </c>
      <c r="H251" s="42">
        <f>IF(OR(ISNUMBER(F251),ISNUMBER(G251)),N(F251)-N(G251),"")</f>
        <v/>
      </c>
      <c r="I251" s="137" t="n"/>
      <c r="J251" s="117">
        <f>IF(OR(ISNUMBER(F251),ISNUMBER(G251)),IF(ISBLANK(G251),"⚠️ Chưa bóc tách định mức",IF(H251&gt;=0,"✅ OK - Cho phép đặt hàng","❌ CHẶN ĐẶT HÀNG - CẦN BẢO VỆ KL")),"")</f>
        <v/>
      </c>
      <c r="K251" s="138">
        <f>IF(OR(ISNUMBER(F251),ISNUMBER(G251)),IF(ISBLANK(G251),"Kỹ sư/Thầu phụ cần bóc tách KL bản vẽ",IF(H251&gt;=0,"Được đặt hàng tối đa "&amp;G251&amp;" "&amp;E251,"Vượt dự toán "&amp;ABS(H251)&amp;" "&amp;E251&amp;" (QS giải trình &amp; duyệt sửa BOQ)")),"")</f>
        <v/>
      </c>
    </row>
    <row r="252" ht="15.6" customHeight="1" s="75">
      <c r="A252" s="58" t="inlineStr">
        <is>
          <t>DHKK-B-I1.5.2.3</t>
        </is>
      </c>
      <c r="B252" s="24" t="n"/>
      <c r="C252" s="99" t="inlineStr">
        <is>
          <t>Bảo ôn ống nước ngưng Ø42 dày 13mm</t>
        </is>
      </c>
      <c r="D252" s="61" t="inlineStr">
        <is>
          <t>m</t>
        </is>
      </c>
      <c r="E252" s="61" t="inlineStr">
        <is>
          <t>m</t>
        </is>
      </c>
      <c r="F252" s="88" t="n">
        <v>245</v>
      </c>
      <c r="G252" s="85" t="n">
        <v>278</v>
      </c>
      <c r="H252" s="42">
        <f>IF(OR(ISNUMBER(F252),ISNUMBER(G252)),N(F252)-N(G252),"")</f>
        <v/>
      </c>
      <c r="I252" s="137" t="n"/>
      <c r="J252" s="117">
        <f>IF(OR(ISNUMBER(F252),ISNUMBER(G252)),IF(ISBLANK(G252),"⚠️ Chưa bóc tách định mức",IF(H252&gt;=0,"✅ OK - Cho phép đặt hàng","❌ CHẶN ĐẶT HÀNG - CẦN BẢO VỆ KL")),"")</f>
        <v/>
      </c>
      <c r="K252" s="138">
        <f>IF(OR(ISNUMBER(F252),ISNUMBER(G252)),IF(ISBLANK(G252),"Kỹ sư/Thầu phụ cần bóc tách KL bản vẽ",IF(H252&gt;=0,"Được đặt hàng tối đa "&amp;G252&amp;" "&amp;E252,"Vượt dự toán "&amp;ABS(H252)&amp;" "&amp;E252&amp;" (QS giải trình &amp; duyệt sửa BOQ)")),"")</f>
        <v/>
      </c>
    </row>
    <row r="253" ht="15.6" customHeight="1" s="75">
      <c r="A253" s="58" t="inlineStr">
        <is>
          <t>DHKK-B-I1.5.2.4</t>
        </is>
      </c>
      <c r="B253" s="24" t="n"/>
      <c r="C253" s="99" t="inlineStr">
        <is>
          <t>Bảo ôn ống nước ngưng Ø60 dày 13mm</t>
        </is>
      </c>
      <c r="D253" s="61" t="inlineStr">
        <is>
          <t>m</t>
        </is>
      </c>
      <c r="E253" s="61" t="inlineStr">
        <is>
          <t>m</t>
        </is>
      </c>
      <c r="F253" s="88" t="n">
        <v>0</v>
      </c>
      <c r="G253" s="85" t="n">
        <v>16</v>
      </c>
      <c r="H253" s="44">
        <f>IF(OR(ISNUMBER(F253),ISNUMBER(G253)),N(F253)-N(G253),"")</f>
        <v/>
      </c>
      <c r="I253" s="137" t="n"/>
      <c r="J253" s="117">
        <f>IF(OR(ISNUMBER(F253),ISNUMBER(G253)),IF(ISBLANK(G253),"⚠️ Chưa bóc tách định mức",IF(H253&gt;=0,"✅ OK - Cho phép đặt hàng","❌ CHẶN ĐẶT HÀNG - CẦN BẢO VỆ KL")),"")</f>
        <v/>
      </c>
      <c r="K253" s="138">
        <f>IF(OR(ISNUMBER(F253),ISNUMBER(G253)),IF(ISBLANK(G253),"Kỹ sư/Thầu phụ cần bóc tách KL bản vẽ",IF(H253&gt;=0,"Được đặt hàng tối đa "&amp;G253&amp;" "&amp;E253,"Vượt dự toán "&amp;ABS(H253)&amp;" "&amp;E253&amp;" (QS giải trình &amp; duyệt sửa BOQ)")),"")</f>
        <v/>
      </c>
    </row>
    <row r="254" ht="15.6" customHeight="1" s="75">
      <c r="A254" s="58" t="inlineStr">
        <is>
          <t>DHKK-B-I1.5.2.5</t>
        </is>
      </c>
      <c r="B254" s="24" t="n"/>
      <c r="C254" s="99" t="inlineStr">
        <is>
          <t>Bảo ôn ống nước ngưng Ø90 dày 13mm</t>
        </is>
      </c>
      <c r="D254" s="61" t="inlineStr">
        <is>
          <t>m</t>
        </is>
      </c>
      <c r="E254" s="61" t="inlineStr">
        <is>
          <t>m</t>
        </is>
      </c>
      <c r="F254" s="88" t="n">
        <v>77</v>
      </c>
      <c r="G254" s="85" t="n">
        <v>126</v>
      </c>
      <c r="H254" s="42">
        <f>IF(OR(ISNUMBER(F254),ISNUMBER(G254)),N(F254)-N(G254),"")</f>
        <v/>
      </c>
      <c r="I254" s="137" t="n"/>
      <c r="J254" s="117">
        <f>IF(OR(ISNUMBER(F254),ISNUMBER(G254)),IF(ISBLANK(G254),"⚠️ Chưa bóc tách định mức",IF(H254&gt;=0,"✅ OK - Cho phép đặt hàng","❌ CHẶN ĐẶT HÀNG - CẦN BẢO VỆ KL")),"")</f>
        <v/>
      </c>
      <c r="K254" s="138">
        <f>IF(OR(ISNUMBER(F254),ISNUMBER(G254)),IF(ISBLANK(G254),"Kỹ sư/Thầu phụ cần bóc tách KL bản vẽ",IF(H254&gt;=0,"Được đặt hàng tối đa "&amp;G254&amp;" "&amp;E254,"Vượt dự toán "&amp;ABS(H254)&amp;" "&amp;E254&amp;" (QS giải trình &amp; duyệt sửa BOQ)")),"")</f>
        <v/>
      </c>
    </row>
    <row r="255" ht="15.6" customHeight="1" s="75">
      <c r="A255" s="58" t="inlineStr">
        <is>
          <t>DHKK-B-I1.5.2.6</t>
        </is>
      </c>
      <c r="B255" s="24" t="n"/>
      <c r="C255" s="99" t="inlineStr">
        <is>
          <t>Bảo ôn ống nước ngưng Ø114 dày 13mm</t>
        </is>
      </c>
      <c r="D255" s="61" t="inlineStr">
        <is>
          <t>m</t>
        </is>
      </c>
      <c r="E255" s="61" t="inlineStr">
        <is>
          <t>m</t>
        </is>
      </c>
      <c r="F255" s="88" t="n">
        <v>47</v>
      </c>
      <c r="G255" s="85" t="n"/>
      <c r="H255" s="42">
        <f>IF(OR(ISNUMBER(F255),ISNUMBER(G255)),N(F255)-N(G255),"")</f>
        <v/>
      </c>
      <c r="I255" s="137" t="n"/>
      <c r="J255" s="117">
        <f>IF(OR(ISNUMBER(F255),ISNUMBER(G255)),IF(ISBLANK(G255),"⚠️ Chưa bóc tách định mức",IF(H255&gt;=0,"✅ OK - Cho phép đặt hàng","❌ CHẶN ĐẶT HÀNG - CẦN BẢO VỆ KL")),"")</f>
        <v/>
      </c>
      <c r="K255" s="138">
        <f>IF(OR(ISNUMBER(F255),ISNUMBER(G255)),IF(ISBLANK(G255),"Kỹ sư/Thầu phụ cần bóc tách KL bản vẽ",IF(H255&gt;=0,"Được đặt hàng tối đa "&amp;G255&amp;" "&amp;E255,"Vượt dự toán "&amp;ABS(H255)&amp;" "&amp;E255&amp;" (QS giải trình &amp; duyệt sửa BOQ)")),"")</f>
        <v/>
      </c>
    </row>
    <row r="256" ht="13.8" customHeight="1" s="75">
      <c r="A256" s="80" t="n"/>
      <c r="B256" s="24" t="n"/>
      <c r="C256" s="101" t="n"/>
      <c r="D256" s="24" t="n"/>
      <c r="E256" s="24" t="n"/>
      <c r="F256" s="85" t="n"/>
      <c r="G256" s="85" t="n"/>
      <c r="H256" s="44" t="n"/>
      <c r="I256" s="137" t="n"/>
    </row>
    <row r="257" ht="15.6" customHeight="1" s="75">
      <c r="A257" s="58" t="inlineStr">
        <is>
          <t>DHKK-B-I1.6.0</t>
        </is>
      </c>
      <c r="B257" s="37" t="n">
        <v>6</v>
      </c>
      <c r="C257" s="98" t="inlineStr">
        <is>
          <t>Phần điều khiển</t>
        </is>
      </c>
      <c r="D257" s="24" t="n"/>
      <c r="E257" s="24" t="n"/>
      <c r="F257" s="85" t="n"/>
      <c r="G257" s="85" t="n"/>
      <c r="H257" s="44" t="n"/>
      <c r="I257" s="137" t="n"/>
    </row>
    <row r="258" ht="15.6" customHeight="1" s="75">
      <c r="A258" s="58" t="inlineStr">
        <is>
          <t>DHKK-B-I1.6.1</t>
        </is>
      </c>
      <c r="B258" s="24" t="n"/>
      <c r="C258" s="99" t="inlineStr">
        <is>
          <t>2Cx1.5mm2 Cu/PVC</t>
        </is>
      </c>
      <c r="D258" s="61" t="inlineStr">
        <is>
          <t>m</t>
        </is>
      </c>
      <c r="E258" s="61" t="inlineStr">
        <is>
          <t>m</t>
        </is>
      </c>
      <c r="F258" s="88" t="n">
        <v>122</v>
      </c>
      <c r="G258" s="85" t="n"/>
      <c r="H258" s="42">
        <f>IF(OR(ISNUMBER(F258),ISNUMBER(G258)),N(F258)-N(G258),"")</f>
        <v/>
      </c>
      <c r="I258" s="142" t="inlineStr">
        <is>
          <t>Không bao gồm cáp điều khiển cho khu nhà trẻ</t>
        </is>
      </c>
      <c r="J258" s="117">
        <f>IF(OR(ISNUMBER(F258),ISNUMBER(G258)),IF(ISBLANK(G258),"⚠️ Chưa bóc tách định mức",IF(H258&gt;=0,"✅ OK - Cho phép đặt hàng","❌ CHẶN ĐẶT HÀNG - CẦN BẢO VỆ KL")),"")</f>
        <v/>
      </c>
      <c r="K258" s="138">
        <f>IF(OR(ISNUMBER(F258),ISNUMBER(G258)),IF(ISBLANK(G258),"Kỹ sư/Thầu phụ cần bóc tách KL bản vẽ",IF(H258&gt;=0,"Được đặt hàng tối đa "&amp;G258&amp;" "&amp;E258,"Vượt dự toán "&amp;ABS(H258)&amp;" "&amp;E258&amp;" (QS giải trình &amp; duyệt sửa BOQ)")),"")</f>
        <v/>
      </c>
    </row>
    <row r="259" ht="15.6" customHeight="1" s="75">
      <c r="A259" s="58" t="inlineStr">
        <is>
          <t>DHKK-B-I1.6.2</t>
        </is>
      </c>
      <c r="B259" s="24" t="n"/>
      <c r="C259" s="99" t="inlineStr">
        <is>
          <t>4Cx1.5mm2 Cu/PVC</t>
        </is>
      </c>
      <c r="D259" s="61" t="inlineStr">
        <is>
          <t>m</t>
        </is>
      </c>
      <c r="E259" s="61" t="inlineStr">
        <is>
          <t>m</t>
        </is>
      </c>
      <c r="F259" s="88" t="n">
        <v>293</v>
      </c>
      <c r="G259" s="85" t="n"/>
      <c r="H259" s="42">
        <f>IF(OR(ISNUMBER(F259),ISNUMBER(G259)),N(F259)-N(G259),"")</f>
        <v/>
      </c>
      <c r="I259" s="142" t="inlineStr">
        <is>
          <t>Không bao gồm cáp điều khiển cho khu nhà trẻ</t>
        </is>
      </c>
      <c r="J259" s="117">
        <f>IF(OR(ISNUMBER(F259),ISNUMBER(G259)),IF(ISBLANK(G259),"⚠️ Chưa bóc tách định mức",IF(H259&gt;=0,"✅ OK - Cho phép đặt hàng","❌ CHẶN ĐẶT HÀNG - CẦN BẢO VỆ KL")),"")</f>
        <v/>
      </c>
      <c r="K259" s="138">
        <f>IF(OR(ISNUMBER(F259),ISNUMBER(G259)),IF(ISBLANK(G259),"Kỹ sư/Thầu phụ cần bóc tách KL bản vẽ",IF(H259&gt;=0,"Được đặt hàng tối đa "&amp;G259&amp;" "&amp;E259,"Vượt dự toán "&amp;ABS(H259)&amp;" "&amp;E259&amp;" (QS giải trình &amp; duyệt sửa BOQ)")),"")</f>
        <v/>
      </c>
    </row>
    <row r="260" ht="15.6" customHeight="1" s="75">
      <c r="A260" s="58" t="inlineStr">
        <is>
          <t>DHKK-B-I1.6.3</t>
        </is>
      </c>
      <c r="B260" s="24" t="n"/>
      <c r="C260" s="99" t="inlineStr">
        <is>
          <t>Ống PVC D20</t>
        </is>
      </c>
      <c r="D260" s="61" t="inlineStr">
        <is>
          <t>m</t>
        </is>
      </c>
      <c r="E260" s="61" t="inlineStr">
        <is>
          <t>m</t>
        </is>
      </c>
      <c r="F260" s="88" t="n">
        <v>122</v>
      </c>
      <c r="G260" s="85" t="n"/>
      <c r="H260" s="42">
        <f>IF(OR(ISNUMBER(F260),ISNUMBER(G260)),N(F260)-N(G260),"")</f>
        <v/>
      </c>
      <c r="I260" s="142" t="inlineStr">
        <is>
          <t>Không bao gồm ống luồn dây cho khu nhà trẻ</t>
        </is>
      </c>
      <c r="J260" s="117">
        <f>IF(OR(ISNUMBER(F260),ISNUMBER(G260)),IF(ISBLANK(G260),"⚠️ Chưa bóc tách định mức",IF(H260&gt;=0,"✅ OK - Cho phép đặt hàng","❌ CHẶN ĐẶT HÀNG - CẦN BẢO VỆ KL")),"")</f>
        <v/>
      </c>
      <c r="K260" s="138">
        <f>IF(OR(ISNUMBER(F260),ISNUMBER(G260)),IF(ISBLANK(G260),"Kỹ sư/Thầu phụ cần bóc tách KL bản vẽ",IF(H260&gt;=0,"Được đặt hàng tối đa "&amp;G260&amp;" "&amp;E260,"Vượt dự toán "&amp;ABS(H260)&amp;" "&amp;E260&amp;" (QS giải trình &amp; duyệt sửa BOQ)")),"")</f>
        <v/>
      </c>
    </row>
    <row r="261" ht="15.6" customHeight="1" s="75">
      <c r="A261" s="58" t="inlineStr">
        <is>
          <t>DHKK-B-I1.6.4</t>
        </is>
      </c>
      <c r="B261" s="24" t="n"/>
      <c r="C261" s="99" t="inlineStr">
        <is>
          <t>Ống ruột gà D20</t>
        </is>
      </c>
      <c r="D261" s="61" t="inlineStr">
        <is>
          <t>m</t>
        </is>
      </c>
      <c r="E261" s="61" t="inlineStr">
        <is>
          <t>m</t>
        </is>
      </c>
      <c r="F261" s="88" t="n">
        <v>293</v>
      </c>
      <c r="G261" s="85" t="n"/>
      <c r="H261" s="42">
        <f>IF(OR(ISNUMBER(F261),ISNUMBER(G261)),N(F261)-N(G261),"")</f>
        <v/>
      </c>
      <c r="I261" s="142" t="inlineStr">
        <is>
          <t>Không bao gồm ống luồn dây cho khu nhà trẻ</t>
        </is>
      </c>
      <c r="J261" s="117">
        <f>IF(OR(ISNUMBER(F261),ISNUMBER(G261)),IF(ISBLANK(G261),"⚠️ Chưa bóc tách định mức",IF(H261&gt;=0,"✅ OK - Cho phép đặt hàng","❌ CHẶN ĐẶT HÀNG - CẦN BẢO VỆ KL")),"")</f>
        <v/>
      </c>
      <c r="K261" s="138">
        <f>IF(OR(ISNUMBER(F261),ISNUMBER(G261)),IF(ISBLANK(G261),"Kỹ sư/Thầu phụ cần bóc tách KL bản vẽ",IF(H261&gt;=0,"Được đặt hàng tối đa "&amp;G261&amp;" "&amp;E261,"Vượt dự toán "&amp;ABS(H261)&amp;" "&amp;E261&amp;" (QS giải trình &amp; duyệt sửa BOQ)")),"")</f>
        <v/>
      </c>
    </row>
    <row r="262" ht="13.8" customHeight="1" s="75">
      <c r="A262" s="80" t="n"/>
      <c r="B262" s="24" t="n"/>
      <c r="C262" s="101" t="n"/>
      <c r="D262" s="24" t="n"/>
      <c r="E262" s="24" t="n"/>
      <c r="F262" s="85" t="n"/>
      <c r="G262" s="85" t="n"/>
      <c r="H262" s="44" t="n"/>
      <c r="I262" s="137" t="n"/>
    </row>
    <row r="263" ht="14.1" customHeight="1" s="75">
      <c r="A263" s="80" t="n"/>
      <c r="B263" s="37" t="n">
        <v>7</v>
      </c>
      <c r="C263" s="98" t="inlineStr">
        <is>
          <t>Công tác khác</t>
        </is>
      </c>
      <c r="D263" s="24" t="n"/>
      <c r="E263" s="24" t="n"/>
      <c r="F263" s="85" t="n"/>
      <c r="G263" s="85" t="n"/>
      <c r="H263" s="44" t="n"/>
      <c r="I263" s="137" t="n"/>
    </row>
    <row r="264" ht="13.8" customHeight="1" s="75">
      <c r="A264" s="80" t="n"/>
      <c r="B264" s="24" t="n"/>
      <c r="C264" s="101" t="n"/>
      <c r="D264" s="24" t="n"/>
      <c r="E264" s="24" t="n"/>
      <c r="F264" s="85" t="n"/>
      <c r="G264" s="85" t="n"/>
      <c r="H264" s="44" t="n"/>
      <c r="I264" s="137" t="n"/>
    </row>
    <row r="265" ht="28.8" customHeight="1" s="75">
      <c r="A265" s="58" t="inlineStr">
        <is>
          <t>DHKK-B-I2</t>
        </is>
      </c>
      <c r="B265" s="33" t="inlineStr">
        <is>
          <t>I.2</t>
        </is>
      </c>
      <c r="C265" s="97" t="inlineStr">
        <is>
          <t>HỆ THỐNG ĐIỀU HÒA THÔNG GIÓ KHU TIỆN ÍCH, KHU SHCĐ</t>
        </is>
      </c>
      <c r="D265" s="34" t="n"/>
      <c r="E265" s="34" t="n"/>
      <c r="F265" s="87" t="n"/>
      <c r="G265" s="87" t="n"/>
      <c r="H265" s="35" t="n"/>
      <c r="I265" s="35" t="n"/>
    </row>
    <row r="266" ht="15.6" customHeight="1" s="75">
      <c r="A266" s="58" t="inlineStr">
        <is>
          <t>DHKK-B-I2.1.0</t>
        </is>
      </c>
      <c r="B266" s="37" t="n">
        <v>1</v>
      </c>
      <c r="C266" s="98" t="inlineStr">
        <is>
          <t>Thiết bị máy lạnh</t>
        </is>
      </c>
      <c r="D266" s="24" t="n"/>
      <c r="E266" s="24" t="n"/>
      <c r="F266" s="85" t="n"/>
      <c r="G266" s="85" t="n"/>
      <c r="H266" s="44" t="n"/>
      <c r="I266" s="137" t="n"/>
    </row>
    <row r="267" ht="28.5" customHeight="1" s="75">
      <c r="A267" s="58" t="inlineStr">
        <is>
          <t>DHKK-B-I2.1.1</t>
        </is>
      </c>
      <c r="B267" s="24" t="n"/>
      <c r="C267" s="99" t="inlineStr">
        <is>
          <t>Máy lạnh cục bộ, dàn lạnh loại cassette ODU/IDU-1F/05, công suất lạnh: 7.1 Kw.</t>
        </is>
      </c>
      <c r="D267" s="61" t="inlineStr">
        <is>
          <t>Bộ</t>
        </is>
      </c>
      <c r="E267" s="61" t="inlineStr">
        <is>
          <t>Bộ</t>
        </is>
      </c>
      <c r="F267" s="88" t="n">
        <v>1</v>
      </c>
      <c r="G267" s="85" t="n"/>
      <c r="H267" s="42">
        <f>IF(OR(ISNUMBER(F267),ISNUMBER(G267)),N(F267)-N(G267),"")</f>
        <v/>
      </c>
      <c r="I267" s="137" t="n"/>
      <c r="J267" s="117">
        <f>IF(OR(ISNUMBER(F267),ISNUMBER(G267)),IF(ISBLANK(G267),"⚠️ Chưa bóc tách định mức",IF(H267&gt;=0,"✅ OK - Cho phép đặt hàng","❌ CHẶN ĐẶT HÀNG - CẦN BẢO VỆ KL")),"")</f>
        <v/>
      </c>
      <c r="K267" s="138">
        <f>IF(OR(ISNUMBER(F267),ISNUMBER(G267)),IF(ISBLANK(G267),"Kỹ sư/Thầu phụ cần bóc tách KL bản vẽ",IF(H267&gt;=0,"Được đặt hàng tối đa "&amp;G267&amp;" "&amp;E267,"Vượt dự toán "&amp;ABS(H267)&amp;" "&amp;E267&amp;" (QS giải trình &amp; duyệt sửa BOQ)")),"")</f>
        <v/>
      </c>
    </row>
    <row r="268" ht="28.5" customHeight="1" s="75">
      <c r="A268" s="58" t="inlineStr">
        <is>
          <t>DHKK-B-I2.1.2</t>
        </is>
      </c>
      <c r="B268" s="24" t="n"/>
      <c r="C268" s="99" t="inlineStr">
        <is>
          <t>Máy lạnh cục bộ, dàn lạnh loại cassette ODU/IDU-3F/S-01~03, công suất lạnh: 10.0 Kw.</t>
        </is>
      </c>
      <c r="D268" s="61" t="inlineStr">
        <is>
          <t>Bộ</t>
        </is>
      </c>
      <c r="E268" s="61" t="inlineStr">
        <is>
          <t>Bộ</t>
        </is>
      </c>
      <c r="F268" s="88" t="n">
        <v>3</v>
      </c>
      <c r="G268" s="85" t="n"/>
      <c r="H268" s="42">
        <f>IF(OR(ISNUMBER(F268),ISNUMBER(G268)),N(F268)-N(G268),"")</f>
        <v/>
      </c>
      <c r="I268" s="137" t="n"/>
      <c r="J268" s="117">
        <f>IF(OR(ISNUMBER(F268),ISNUMBER(G268)),IF(ISBLANK(G268),"⚠️ Chưa bóc tách định mức",IF(H268&gt;=0,"✅ OK - Cho phép đặt hàng","❌ CHẶN ĐẶT HÀNG - CẦN BẢO VỆ KL")),"")</f>
        <v/>
      </c>
      <c r="K268" s="138">
        <f>IF(OR(ISNUMBER(F268),ISNUMBER(G268)),IF(ISBLANK(G268),"Kỹ sư/Thầu phụ cần bóc tách KL bản vẽ",IF(H268&gt;=0,"Được đặt hàng tối đa "&amp;G268&amp;" "&amp;E268,"Vượt dự toán "&amp;ABS(H268)&amp;" "&amp;E268&amp;" (QS giải trình &amp; duyệt sửa BOQ)")),"")</f>
        <v/>
      </c>
    </row>
    <row r="269" ht="28.5" customHeight="1" s="75">
      <c r="A269" s="58" t="inlineStr">
        <is>
          <t>DHKK-B-I2.1.3</t>
        </is>
      </c>
      <c r="B269" s="24" t="n"/>
      <c r="C269" s="99" t="inlineStr">
        <is>
          <t>Máy lạnh cục bộ, dàn lạnh loại cassette ODU/IDU-3F/S-04, công suất lạnh: 5.0 Kw.</t>
        </is>
      </c>
      <c r="D269" s="61" t="inlineStr">
        <is>
          <t>Bộ</t>
        </is>
      </c>
      <c r="E269" s="61" t="inlineStr">
        <is>
          <t>Bộ</t>
        </is>
      </c>
      <c r="F269" s="88" t="n">
        <v>1</v>
      </c>
      <c r="G269" s="85" t="n"/>
      <c r="H269" s="42">
        <f>IF(OR(ISNUMBER(F269),ISNUMBER(G269)),N(F269)-N(G269),"")</f>
        <v/>
      </c>
      <c r="I269" s="137" t="n"/>
      <c r="J269" s="117">
        <f>IF(OR(ISNUMBER(F269),ISNUMBER(G269)),IF(ISBLANK(G269),"⚠️ Chưa bóc tách định mức",IF(H269&gt;=0,"✅ OK - Cho phép đặt hàng","❌ CHẶN ĐẶT HÀNG - CẦN BẢO VỆ KL")),"")</f>
        <v/>
      </c>
      <c r="K269" s="138">
        <f>IF(OR(ISNUMBER(F269),ISNUMBER(G269)),IF(ISBLANK(G269),"Kỹ sư/Thầu phụ cần bóc tách KL bản vẽ",IF(H269&gt;=0,"Được đặt hàng tối đa "&amp;G269&amp;" "&amp;E269,"Vượt dự toán "&amp;ABS(H269)&amp;" "&amp;E269&amp;" (QS giải trình &amp; duyệt sửa BOQ)")),"")</f>
        <v/>
      </c>
    </row>
    <row r="270" ht="28.5" customHeight="1" s="75">
      <c r="A270" s="58" t="inlineStr">
        <is>
          <t>DHKK-B-I2.1.4</t>
        </is>
      </c>
      <c r="B270" s="24" t="n"/>
      <c r="C270" s="99" t="inlineStr">
        <is>
          <t>Máy lạnh cục bộ, dàn lạnh loại cassette ODU/IDU-3F/S-05, công suất lạnh: 14.0 Kw.</t>
        </is>
      </c>
      <c r="D270" s="61" t="inlineStr">
        <is>
          <t>Bộ</t>
        </is>
      </c>
      <c r="E270" s="61" t="inlineStr">
        <is>
          <t>Bộ</t>
        </is>
      </c>
      <c r="F270" s="88" t="n">
        <v>1</v>
      </c>
      <c r="G270" s="85" t="n"/>
      <c r="H270" s="42">
        <f>IF(OR(ISNUMBER(F270),ISNUMBER(G270)),N(F270)-N(G270),"")</f>
        <v/>
      </c>
      <c r="I270" s="137" t="n"/>
      <c r="J270" s="117">
        <f>IF(OR(ISNUMBER(F270),ISNUMBER(G270)),IF(ISBLANK(G270),"⚠️ Chưa bóc tách định mức",IF(H270&gt;=0,"✅ OK - Cho phép đặt hàng","❌ CHẶN ĐẶT HÀNG - CẦN BẢO VỆ KL")),"")</f>
        <v/>
      </c>
      <c r="K270" s="138">
        <f>IF(OR(ISNUMBER(F270),ISNUMBER(G270)),IF(ISBLANK(G270),"Kỹ sư/Thầu phụ cần bóc tách KL bản vẽ",IF(H270&gt;=0,"Được đặt hàng tối đa "&amp;G270&amp;" "&amp;E270,"Vượt dự toán "&amp;ABS(H270)&amp;" "&amp;E270&amp;" (QS giải trình &amp; duyệt sửa BOQ)")),"")</f>
        <v/>
      </c>
    </row>
    <row r="271" ht="28.5" customHeight="1" s="75">
      <c r="A271" s="58" t="inlineStr">
        <is>
          <t>DHKK-B-I2.1.5</t>
        </is>
      </c>
      <c r="B271" s="24" t="n"/>
      <c r="C271" s="99" t="inlineStr">
        <is>
          <t>Máy lạnh cục bộ, dàn lạnh loại cassette ODU/IDU-3F/S-06, công suất lạnh: 5.0 Kw.</t>
        </is>
      </c>
      <c r="D271" s="61" t="inlineStr">
        <is>
          <t>Bộ</t>
        </is>
      </c>
      <c r="E271" s="61" t="inlineStr">
        <is>
          <t>Bộ</t>
        </is>
      </c>
      <c r="F271" s="88" t="n">
        <v>1</v>
      </c>
      <c r="G271" s="85" t="n"/>
      <c r="H271" s="42">
        <f>IF(OR(ISNUMBER(F271),ISNUMBER(G271)),N(F271)-N(G271),"")</f>
        <v/>
      </c>
      <c r="I271" s="137" t="n"/>
      <c r="J271" s="117">
        <f>IF(OR(ISNUMBER(F271),ISNUMBER(G271)),IF(ISBLANK(G271),"⚠️ Chưa bóc tách định mức",IF(H271&gt;=0,"✅ OK - Cho phép đặt hàng","❌ CHẶN ĐẶT HÀNG - CẦN BẢO VỆ KL")),"")</f>
        <v/>
      </c>
      <c r="K271" s="138">
        <f>IF(OR(ISNUMBER(F271),ISNUMBER(G271)),IF(ISBLANK(G271),"Kỹ sư/Thầu phụ cần bóc tách KL bản vẽ",IF(H271&gt;=0,"Được đặt hàng tối đa "&amp;G271&amp;" "&amp;E271,"Vượt dự toán "&amp;ABS(H271)&amp;" "&amp;E271&amp;" (QS giải trình &amp; duyệt sửa BOQ)")),"")</f>
        <v/>
      </c>
    </row>
    <row r="272" ht="28.5" customHeight="1" s="75">
      <c r="A272" s="58" t="inlineStr">
        <is>
          <t>DHKK-B-I2.1.6</t>
        </is>
      </c>
      <c r="B272" s="24" t="n"/>
      <c r="C272" s="99" t="inlineStr">
        <is>
          <t>Máy lạnh cục bộ, dàn lạnh loại cassette ODU/IDU-3F/S-07, công suất lạnh: 10.0 Kw.</t>
        </is>
      </c>
      <c r="D272" s="61" t="inlineStr">
        <is>
          <t>Bộ</t>
        </is>
      </c>
      <c r="E272" s="61" t="inlineStr">
        <is>
          <t>Bộ</t>
        </is>
      </c>
      <c r="F272" s="88" t="n">
        <v>1</v>
      </c>
      <c r="G272" s="85" t="n"/>
      <c r="H272" s="42">
        <f>IF(OR(ISNUMBER(F272),ISNUMBER(G272)),N(F272)-N(G272),"")</f>
        <v/>
      </c>
      <c r="I272" s="137" t="n"/>
      <c r="J272" s="117">
        <f>IF(OR(ISNUMBER(F272),ISNUMBER(G272)),IF(ISBLANK(G272),"⚠️ Chưa bóc tách định mức",IF(H272&gt;=0,"✅ OK - Cho phép đặt hàng","❌ CHẶN ĐẶT HÀNG - CẦN BẢO VỆ KL")),"")</f>
        <v/>
      </c>
      <c r="K272" s="138">
        <f>IF(OR(ISNUMBER(F272),ISNUMBER(G272)),IF(ISBLANK(G272),"Kỹ sư/Thầu phụ cần bóc tách KL bản vẽ",IF(H272&gt;=0,"Được đặt hàng tối đa "&amp;G272&amp;" "&amp;E272,"Vượt dự toán "&amp;ABS(H272)&amp;" "&amp;E272&amp;" (QS giải trình &amp; duyệt sửa BOQ)")),"")</f>
        <v/>
      </c>
    </row>
    <row r="273" ht="28.5" customHeight="1" s="75">
      <c r="A273" s="58" t="inlineStr">
        <is>
          <t>DHKK-B-I2.1.7</t>
        </is>
      </c>
      <c r="B273" s="24" t="n"/>
      <c r="C273" s="99" t="inlineStr">
        <is>
          <t>Máy lạnh cục bộ, dàn lạnh loại cassette ODU/IDU-3F/S-08, công suất lạnh: 14.0 Kw.</t>
        </is>
      </c>
      <c r="D273" s="61" t="inlineStr">
        <is>
          <t>Bộ</t>
        </is>
      </c>
      <c r="E273" s="61" t="inlineStr">
        <is>
          <t>Bộ</t>
        </is>
      </c>
      <c r="F273" s="88" t="n">
        <v>1</v>
      </c>
      <c r="G273" s="85" t="n"/>
      <c r="H273" s="42">
        <f>IF(OR(ISNUMBER(F273),ISNUMBER(G273)),N(F273)-N(G273),"")</f>
        <v/>
      </c>
      <c r="I273" s="137" t="n"/>
      <c r="J273" s="117">
        <f>IF(OR(ISNUMBER(F273),ISNUMBER(G273)),IF(ISBLANK(G273),"⚠️ Chưa bóc tách định mức",IF(H273&gt;=0,"✅ OK - Cho phép đặt hàng","❌ CHẶN ĐẶT HÀNG - CẦN BẢO VỆ KL")),"")</f>
        <v/>
      </c>
      <c r="K273" s="138">
        <f>IF(OR(ISNUMBER(F273),ISNUMBER(G273)),IF(ISBLANK(G273),"Kỹ sư/Thầu phụ cần bóc tách KL bản vẽ",IF(H273&gt;=0,"Được đặt hàng tối đa "&amp;G273&amp;" "&amp;E273,"Vượt dự toán "&amp;ABS(H273)&amp;" "&amp;E273&amp;" (QS giải trình &amp; duyệt sửa BOQ)")),"")</f>
        <v/>
      </c>
    </row>
    <row r="274" ht="28.5" customHeight="1" s="75">
      <c r="A274" s="58" t="inlineStr">
        <is>
          <t>DHKK-B-I2.1.8</t>
        </is>
      </c>
      <c r="B274" s="24" t="n"/>
      <c r="C274" s="99" t="inlineStr">
        <is>
          <t>Máy lạnh cục bộ, dàn lạnh loại cassette ODU/IDU-3F/S-09,10 công suất lạnh: 10.0 Kw.</t>
        </is>
      </c>
      <c r="D274" s="61" t="inlineStr">
        <is>
          <t>Bộ</t>
        </is>
      </c>
      <c r="E274" s="61" t="inlineStr">
        <is>
          <t>Bộ</t>
        </is>
      </c>
      <c r="F274" s="88" t="n">
        <v>2</v>
      </c>
      <c r="G274" s="85" t="n"/>
      <c r="H274" s="42">
        <f>IF(OR(ISNUMBER(F274),ISNUMBER(G274)),N(F274)-N(G274),"")</f>
        <v/>
      </c>
      <c r="I274" s="137" t="n"/>
      <c r="J274" s="117">
        <f>IF(OR(ISNUMBER(F274),ISNUMBER(G274)),IF(ISBLANK(G274),"⚠️ Chưa bóc tách định mức",IF(H274&gt;=0,"✅ OK - Cho phép đặt hàng","❌ CHẶN ĐẶT HÀNG - CẦN BẢO VỆ KL")),"")</f>
        <v/>
      </c>
      <c r="K274" s="138">
        <f>IF(OR(ISNUMBER(F274),ISNUMBER(G274)),IF(ISBLANK(G274),"Kỹ sư/Thầu phụ cần bóc tách KL bản vẽ",IF(H274&gt;=0,"Được đặt hàng tối đa "&amp;G274&amp;" "&amp;E274,"Vượt dự toán "&amp;ABS(H274)&amp;" "&amp;E274&amp;" (QS giải trình &amp; duyệt sửa BOQ)")),"")</f>
        <v/>
      </c>
    </row>
    <row r="275" ht="28.5" customHeight="1" s="75">
      <c r="A275" s="58" t="inlineStr">
        <is>
          <t>DHKK-B-I2.1.9</t>
        </is>
      </c>
      <c r="B275" s="24" t="n"/>
      <c r="C275" s="99" t="inlineStr">
        <is>
          <t>Máy lạnh cục bộ, dàn lạnh loại cassette ODU/IDU-3F/S-11, công suất lạnh: 14.0 Kw.</t>
        </is>
      </c>
      <c r="D275" s="61" t="inlineStr">
        <is>
          <t>Bộ</t>
        </is>
      </c>
      <c r="E275" s="61" t="inlineStr">
        <is>
          <t>Bộ</t>
        </is>
      </c>
      <c r="F275" s="88" t="n">
        <v>1</v>
      </c>
      <c r="G275" s="85" t="n"/>
      <c r="H275" s="42">
        <f>IF(OR(ISNUMBER(F275),ISNUMBER(G275)),N(F275)-N(G275),"")</f>
        <v/>
      </c>
      <c r="I275" s="137" t="n"/>
      <c r="J275" s="117">
        <f>IF(OR(ISNUMBER(F275),ISNUMBER(G275)),IF(ISBLANK(G275),"⚠️ Chưa bóc tách định mức",IF(H275&gt;=0,"✅ OK - Cho phép đặt hàng","❌ CHẶN ĐẶT HÀNG - CẦN BẢO VỆ KL")),"")</f>
        <v/>
      </c>
      <c r="K275" s="138">
        <f>IF(OR(ISNUMBER(F275),ISNUMBER(G275)),IF(ISBLANK(G275),"Kỹ sư/Thầu phụ cần bóc tách KL bản vẽ",IF(H275&gt;=0,"Được đặt hàng tối đa "&amp;G275&amp;" "&amp;E275,"Vượt dự toán "&amp;ABS(H275)&amp;" "&amp;E275&amp;" (QS giải trình &amp; duyệt sửa BOQ)")),"")</f>
        <v/>
      </c>
    </row>
    <row r="276" ht="28.5" customHeight="1" s="75">
      <c r="A276" s="58" t="inlineStr">
        <is>
          <t>DHKK-B-I2.1.10</t>
        </is>
      </c>
      <c r="B276" s="24" t="n"/>
      <c r="C276" s="99" t="inlineStr">
        <is>
          <t>Máy lạnh cục bộ, dàn lạnh loại cassette ODU/IDU-3F/S-12, công suất lạnh: 10.0 Kw.</t>
        </is>
      </c>
      <c r="D276" s="61" t="inlineStr">
        <is>
          <t>Bộ</t>
        </is>
      </c>
      <c r="E276" s="61" t="inlineStr">
        <is>
          <t>Bộ</t>
        </is>
      </c>
      <c r="F276" s="88" t="n">
        <v>1</v>
      </c>
      <c r="G276" s="85" t="n"/>
      <c r="H276" s="42">
        <f>IF(OR(ISNUMBER(F276),ISNUMBER(G276)),N(F276)-N(G276),"")</f>
        <v/>
      </c>
      <c r="I276" s="137" t="n"/>
      <c r="J276" s="117">
        <f>IF(OR(ISNUMBER(F276),ISNUMBER(G276)),IF(ISBLANK(G276),"⚠️ Chưa bóc tách định mức",IF(H276&gt;=0,"✅ OK - Cho phép đặt hàng","❌ CHẶN ĐẶT HÀNG - CẦN BẢO VỆ KL")),"")</f>
        <v/>
      </c>
      <c r="K276" s="138">
        <f>IF(OR(ISNUMBER(F276),ISNUMBER(G276)),IF(ISBLANK(G276),"Kỹ sư/Thầu phụ cần bóc tách KL bản vẽ",IF(H276&gt;=0,"Được đặt hàng tối đa "&amp;G276&amp;" "&amp;E276,"Vượt dự toán "&amp;ABS(H276)&amp;" "&amp;E276&amp;" (QS giải trình &amp; duyệt sửa BOQ)")),"")</f>
        <v/>
      </c>
    </row>
    <row r="277" ht="28.5" customHeight="1" s="75">
      <c r="A277" s="58" t="inlineStr">
        <is>
          <t>DHKK-B-I2.1.11</t>
        </is>
      </c>
      <c r="B277" s="24" t="n"/>
      <c r="C277" s="99" t="inlineStr">
        <is>
          <t>Máy lạnh cục bộ, dàn lạnh loại cassette ODU/IDU-3F/S-13, công suất lạnh: 7.1 Kw.</t>
        </is>
      </c>
      <c r="D277" s="61" t="inlineStr">
        <is>
          <t>Bộ</t>
        </is>
      </c>
      <c r="E277" s="61" t="inlineStr">
        <is>
          <t>Bộ</t>
        </is>
      </c>
      <c r="F277" s="88" t="n">
        <v>1</v>
      </c>
      <c r="G277" s="85" t="n"/>
      <c r="H277" s="42">
        <f>IF(OR(ISNUMBER(F277),ISNUMBER(G277)),N(F277)-N(G277),"")</f>
        <v/>
      </c>
      <c r="I277" s="137" t="n"/>
      <c r="J277" s="117">
        <f>IF(OR(ISNUMBER(F277),ISNUMBER(G277)),IF(ISBLANK(G277),"⚠️ Chưa bóc tách định mức",IF(H277&gt;=0,"✅ OK - Cho phép đặt hàng","❌ CHẶN ĐẶT HÀNG - CẦN BẢO VỆ KL")),"")</f>
        <v/>
      </c>
      <c r="K277" s="138">
        <f>IF(OR(ISNUMBER(F277),ISNUMBER(G277)),IF(ISBLANK(G277),"Kỹ sư/Thầu phụ cần bóc tách KL bản vẽ",IF(H277&gt;=0,"Được đặt hàng tối đa "&amp;G277&amp;" "&amp;E277,"Vượt dự toán "&amp;ABS(H277)&amp;" "&amp;E277&amp;" (QS giải trình &amp; duyệt sửa BOQ)")),"")</f>
        <v/>
      </c>
    </row>
    <row r="278" ht="28.5" customHeight="1" s="75">
      <c r="A278" s="58" t="inlineStr">
        <is>
          <t>DHKK-B-I2.1.12</t>
        </is>
      </c>
      <c r="B278" s="24" t="n"/>
      <c r="C278" s="99" t="inlineStr">
        <is>
          <t>Máy lạnh cục bộ, dàn lạnh loại cassette ODU/IDU-3F/S-14,15 công suất lạnh: 3.5 Kw.</t>
        </is>
      </c>
      <c r="D278" s="61" t="inlineStr">
        <is>
          <t>Bộ</t>
        </is>
      </c>
      <c r="E278" s="61" t="inlineStr">
        <is>
          <t>Bộ</t>
        </is>
      </c>
      <c r="F278" s="88" t="n">
        <v>2</v>
      </c>
      <c r="G278" s="85" t="n"/>
      <c r="H278" s="42">
        <f>IF(OR(ISNUMBER(F278),ISNUMBER(G278)),N(F278)-N(G278),"")</f>
        <v/>
      </c>
      <c r="I278" s="137" t="n"/>
      <c r="J278" s="117">
        <f>IF(OR(ISNUMBER(F278),ISNUMBER(G278)),IF(ISBLANK(G278),"⚠️ Chưa bóc tách định mức",IF(H278&gt;=0,"✅ OK - Cho phép đặt hàng","❌ CHẶN ĐẶT HÀNG - CẦN BẢO VỆ KL")),"")</f>
        <v/>
      </c>
      <c r="K278" s="138">
        <f>IF(OR(ISNUMBER(F278),ISNUMBER(G278)),IF(ISBLANK(G278),"Kỹ sư/Thầu phụ cần bóc tách KL bản vẽ",IF(H278&gt;=0,"Được đặt hàng tối đa "&amp;G278&amp;" "&amp;E278,"Vượt dự toán "&amp;ABS(H278)&amp;" "&amp;E278&amp;" (QS giải trình &amp; duyệt sửa BOQ)")),"")</f>
        <v/>
      </c>
    </row>
    <row r="279" ht="28.5" customHeight="1" s="75">
      <c r="A279" s="58" t="inlineStr">
        <is>
          <t>DHKK-B-I2.1.13</t>
        </is>
      </c>
      <c r="B279" s="24" t="n"/>
      <c r="C279" s="99" t="inlineStr">
        <is>
          <t>Máy lạnh cục bộ, dàn lạnh loại cassette ODU/IDU-2F/S-01, công suất lạnh: 14.0 Kw.</t>
        </is>
      </c>
      <c r="D279" s="61" t="inlineStr">
        <is>
          <t>Bộ</t>
        </is>
      </c>
      <c r="E279" s="61" t="inlineStr">
        <is>
          <t>Bộ</t>
        </is>
      </c>
      <c r="F279" s="88" t="n">
        <v>0</v>
      </c>
      <c r="G279" s="85" t="n"/>
      <c r="H279" s="44">
        <f>IF(OR(ISNUMBER(F279),ISNUMBER(G279)),N(F279)-N(G279),"")</f>
        <v/>
      </c>
      <c r="I279" s="137" t="n"/>
      <c r="J279" s="117">
        <f>IF(OR(ISNUMBER(F279),ISNUMBER(G279)),IF(ISBLANK(G279),"⚠️ Chưa bóc tách định mức",IF(H279&gt;=0,"✅ OK - Cho phép đặt hàng","❌ CHẶN ĐẶT HÀNG - CẦN BẢO VỆ KL")),"")</f>
        <v/>
      </c>
      <c r="K279" s="138">
        <f>IF(OR(ISNUMBER(F279),ISNUMBER(G279)),IF(ISBLANK(G279),"Kỹ sư/Thầu phụ cần bóc tách KL bản vẽ",IF(H279&gt;=0,"Được đặt hàng tối đa "&amp;G279&amp;" "&amp;E279,"Vượt dự toán "&amp;ABS(H279)&amp;" "&amp;E279&amp;" (QS giải trình &amp; duyệt sửa BOQ)")),"")</f>
        <v/>
      </c>
    </row>
    <row r="280" ht="28.5" customHeight="1" s="75">
      <c r="A280" s="58" t="inlineStr">
        <is>
          <t>DHKK-B-I2.1.14</t>
        </is>
      </c>
      <c r="B280" s="24" t="n"/>
      <c r="C280" s="99" t="inlineStr">
        <is>
          <t>Máy lạnh cục bộ, dàn lạnh loại cassette ODU/IDU-2F/S-02,03, công suất lạnh: 10.0 Kw.</t>
        </is>
      </c>
      <c r="D280" s="61" t="inlineStr">
        <is>
          <t>Bộ</t>
        </is>
      </c>
      <c r="E280" s="61" t="inlineStr">
        <is>
          <t>Bộ</t>
        </is>
      </c>
      <c r="F280" s="88" t="n">
        <v>0</v>
      </c>
      <c r="G280" s="85" t="n"/>
      <c r="H280" s="44">
        <f>IF(OR(ISNUMBER(F280),ISNUMBER(G280)),N(F280)-N(G280),"")</f>
        <v/>
      </c>
      <c r="I280" s="137" t="n"/>
      <c r="J280" s="117">
        <f>IF(OR(ISNUMBER(F280),ISNUMBER(G280)),IF(ISBLANK(G280),"⚠️ Chưa bóc tách định mức",IF(H280&gt;=0,"✅ OK - Cho phép đặt hàng","❌ CHẶN ĐẶT HÀNG - CẦN BẢO VỆ KL")),"")</f>
        <v/>
      </c>
      <c r="K280" s="138">
        <f>IF(OR(ISNUMBER(F280),ISNUMBER(G280)),IF(ISBLANK(G280),"Kỹ sư/Thầu phụ cần bóc tách KL bản vẽ",IF(H280&gt;=0,"Được đặt hàng tối đa "&amp;G280&amp;" "&amp;E280,"Vượt dự toán "&amp;ABS(H280)&amp;" "&amp;E280&amp;" (QS giải trình &amp; duyệt sửa BOQ)")),"")</f>
        <v/>
      </c>
    </row>
    <row r="281" ht="28.5" customHeight="1" s="75">
      <c r="A281" s="58" t="inlineStr">
        <is>
          <t>DHKK-B-I2.1.15</t>
        </is>
      </c>
      <c r="B281" s="24" t="n"/>
      <c r="C281" s="99" t="inlineStr">
        <is>
          <t>Máy lạnh cục bộ, dàn lạnh loại cassette ODU/IDU-2F/S-04, công suất lạnh: 14.0 Kw.</t>
        </is>
      </c>
      <c r="D281" s="61" t="inlineStr">
        <is>
          <t>Bộ</t>
        </is>
      </c>
      <c r="E281" s="61" t="inlineStr">
        <is>
          <t>Bộ</t>
        </is>
      </c>
      <c r="F281" s="88" t="n">
        <v>0</v>
      </c>
      <c r="G281" s="85" t="n"/>
      <c r="H281" s="44">
        <f>IF(OR(ISNUMBER(F281),ISNUMBER(G281)),N(F281)-N(G281),"")</f>
        <v/>
      </c>
      <c r="I281" s="137" t="n"/>
      <c r="J281" s="117">
        <f>IF(OR(ISNUMBER(F281),ISNUMBER(G281)),IF(ISBLANK(G281),"⚠️ Chưa bóc tách định mức",IF(H281&gt;=0,"✅ OK - Cho phép đặt hàng","❌ CHẶN ĐẶT HÀNG - CẦN BẢO VỆ KL")),"")</f>
        <v/>
      </c>
      <c r="K281" s="138">
        <f>IF(OR(ISNUMBER(F281),ISNUMBER(G281)),IF(ISBLANK(G281),"Kỹ sư/Thầu phụ cần bóc tách KL bản vẽ",IF(H281&gt;=0,"Được đặt hàng tối đa "&amp;G281&amp;" "&amp;E281,"Vượt dự toán "&amp;ABS(H281)&amp;" "&amp;E281&amp;" (QS giải trình &amp; duyệt sửa BOQ)")),"")</f>
        <v/>
      </c>
    </row>
    <row r="282" ht="28.5" customHeight="1" s="75">
      <c r="A282" s="58" t="inlineStr">
        <is>
          <t>DHKK-B-I2.1.16</t>
        </is>
      </c>
      <c r="B282" s="24" t="n"/>
      <c r="C282" s="99" t="inlineStr">
        <is>
          <t>Máy lạnh cục bộ, dàn lạnh loại cassette ODU/IDU-2F/S-05, công suất lạnh: 5.0 Kw.</t>
        </is>
      </c>
      <c r="D282" s="61" t="inlineStr">
        <is>
          <t>Bộ</t>
        </is>
      </c>
      <c r="E282" s="61" t="inlineStr">
        <is>
          <t>Bộ</t>
        </is>
      </c>
      <c r="F282" s="88" t="n">
        <v>0</v>
      </c>
      <c r="G282" s="85" t="n"/>
      <c r="H282" s="44">
        <f>IF(OR(ISNUMBER(F282),ISNUMBER(G282)),N(F282)-N(G282),"")</f>
        <v/>
      </c>
      <c r="I282" s="137" t="n"/>
      <c r="J282" s="117">
        <f>IF(OR(ISNUMBER(F282),ISNUMBER(G282)),IF(ISBLANK(G282),"⚠️ Chưa bóc tách định mức",IF(H282&gt;=0,"✅ OK - Cho phép đặt hàng","❌ CHẶN ĐẶT HÀNG - CẦN BẢO VỆ KL")),"")</f>
        <v/>
      </c>
      <c r="K282" s="138">
        <f>IF(OR(ISNUMBER(F282),ISNUMBER(G282)),IF(ISBLANK(G282),"Kỹ sư/Thầu phụ cần bóc tách KL bản vẽ",IF(H282&gt;=0,"Được đặt hàng tối đa "&amp;G282&amp;" "&amp;E282,"Vượt dự toán "&amp;ABS(H282)&amp;" "&amp;E282&amp;" (QS giải trình &amp; duyệt sửa BOQ)")),"")</f>
        <v/>
      </c>
    </row>
    <row r="283" ht="28.5" customHeight="1" s="75">
      <c r="A283" s="58" t="inlineStr">
        <is>
          <t>DHKK-B-I2.1.17</t>
        </is>
      </c>
      <c r="B283" s="24" t="n"/>
      <c r="C283" s="99" t="inlineStr">
        <is>
          <t>Máy lạnh cục bộ, dàn lạnh loại cassette ODU/IDU-2F/S-06, công suất lạnh: 10.0 Kw.</t>
        </is>
      </c>
      <c r="D283" s="61" t="inlineStr">
        <is>
          <t>Bộ</t>
        </is>
      </c>
      <c r="E283" s="61" t="inlineStr">
        <is>
          <t>Bộ</t>
        </is>
      </c>
      <c r="F283" s="88" t="n">
        <v>0</v>
      </c>
      <c r="G283" s="85" t="n"/>
      <c r="H283" s="44">
        <f>IF(OR(ISNUMBER(F283),ISNUMBER(G283)),N(F283)-N(G283),"")</f>
        <v/>
      </c>
      <c r="I283" s="137" t="n"/>
      <c r="J283" s="117">
        <f>IF(OR(ISNUMBER(F283),ISNUMBER(G283)),IF(ISBLANK(G283),"⚠️ Chưa bóc tách định mức",IF(H283&gt;=0,"✅ OK - Cho phép đặt hàng","❌ CHẶN ĐẶT HÀNG - CẦN BẢO VỆ KL")),"")</f>
        <v/>
      </c>
      <c r="K283" s="138">
        <f>IF(OR(ISNUMBER(F283),ISNUMBER(G283)),IF(ISBLANK(G283),"Kỹ sư/Thầu phụ cần bóc tách KL bản vẽ",IF(H283&gt;=0,"Được đặt hàng tối đa "&amp;G283&amp;" "&amp;E283,"Vượt dự toán "&amp;ABS(H283)&amp;" "&amp;E283&amp;" (QS giải trình &amp; duyệt sửa BOQ)")),"")</f>
        <v/>
      </c>
    </row>
    <row r="284" ht="28.5" customHeight="1" s="75">
      <c r="A284" s="58" t="inlineStr">
        <is>
          <t>DHKK-B-I2.1.18</t>
        </is>
      </c>
      <c r="B284" s="24" t="n"/>
      <c r="C284" s="99" t="inlineStr">
        <is>
          <t>Máy lạnh cục bộ, dàn lạnh loại cassette ODU/IDU-3F/S-01, công suất lạnh: 14.0 Kw.</t>
        </is>
      </c>
      <c r="D284" s="61" t="inlineStr">
        <is>
          <t>Bộ</t>
        </is>
      </c>
      <c r="E284" s="61" t="inlineStr">
        <is>
          <t>Bộ</t>
        </is>
      </c>
      <c r="F284" s="88" t="n">
        <v>0</v>
      </c>
      <c r="G284" s="85" t="n"/>
      <c r="H284" s="44">
        <f>IF(OR(ISNUMBER(F284),ISNUMBER(G284)),N(F284)-N(G284),"")</f>
        <v/>
      </c>
      <c r="I284" s="137" t="n"/>
      <c r="J284" s="117">
        <f>IF(OR(ISNUMBER(F284),ISNUMBER(G284)),IF(ISBLANK(G284),"⚠️ Chưa bóc tách định mức",IF(H284&gt;=0,"✅ OK - Cho phép đặt hàng","❌ CHẶN ĐẶT HÀNG - CẦN BẢO VỆ KL")),"")</f>
        <v/>
      </c>
      <c r="K284" s="138">
        <f>IF(OR(ISNUMBER(F284),ISNUMBER(G284)),IF(ISBLANK(G284),"Kỹ sư/Thầu phụ cần bóc tách KL bản vẽ",IF(H284&gt;=0,"Được đặt hàng tối đa "&amp;G284&amp;" "&amp;E284,"Vượt dự toán "&amp;ABS(H284)&amp;" "&amp;E284&amp;" (QS giải trình &amp; duyệt sửa BOQ)")),"")</f>
        <v/>
      </c>
    </row>
    <row r="285" ht="28.5" customHeight="1" s="75">
      <c r="A285" s="58" t="inlineStr">
        <is>
          <t>DHKK-B-I2.1.19</t>
        </is>
      </c>
      <c r="B285" s="24" t="n"/>
      <c r="C285" s="99" t="inlineStr">
        <is>
          <t>Máy lạnh cục bộ, dàn lạnh loại cassette ODU/IDU-3F/S-02, công suất lạnh: 10.0 Kw.</t>
        </is>
      </c>
      <c r="D285" s="61" t="inlineStr">
        <is>
          <t>Bộ</t>
        </is>
      </c>
      <c r="E285" s="61" t="inlineStr">
        <is>
          <t>Bộ</t>
        </is>
      </c>
      <c r="F285" s="88" t="n">
        <v>0</v>
      </c>
      <c r="G285" s="85" t="n"/>
      <c r="H285" s="44">
        <f>IF(OR(ISNUMBER(F285),ISNUMBER(G285)),N(F285)-N(G285),"")</f>
        <v/>
      </c>
      <c r="I285" s="137" t="n"/>
      <c r="J285" s="117">
        <f>IF(OR(ISNUMBER(F285),ISNUMBER(G285)),IF(ISBLANK(G285),"⚠️ Chưa bóc tách định mức",IF(H285&gt;=0,"✅ OK - Cho phép đặt hàng","❌ CHẶN ĐẶT HÀNG - CẦN BẢO VỆ KL")),"")</f>
        <v/>
      </c>
      <c r="K285" s="138">
        <f>IF(OR(ISNUMBER(F285),ISNUMBER(G285)),IF(ISBLANK(G285),"Kỹ sư/Thầu phụ cần bóc tách KL bản vẽ",IF(H285&gt;=0,"Được đặt hàng tối đa "&amp;G285&amp;" "&amp;E285,"Vượt dự toán "&amp;ABS(H285)&amp;" "&amp;E285&amp;" (QS giải trình &amp; duyệt sửa BOQ)")),"")</f>
        <v/>
      </c>
    </row>
    <row r="286" ht="28.5" customHeight="1" s="75">
      <c r="A286" s="58" t="inlineStr">
        <is>
          <t>DHKK-B-I2.1.20</t>
        </is>
      </c>
      <c r="B286" s="24" t="n"/>
      <c r="C286" s="99" t="inlineStr">
        <is>
          <t>Máy lạnh cục bộ, dàn lạnh loại cassette ODU/IDU-3F/S-03, công suất lạnh: 14.0 Kw.</t>
        </is>
      </c>
      <c r="D286" s="61" t="inlineStr">
        <is>
          <t>Bộ</t>
        </is>
      </c>
      <c r="E286" s="61" t="inlineStr">
        <is>
          <t>Bộ</t>
        </is>
      </c>
      <c r="F286" s="88" t="n">
        <v>0</v>
      </c>
      <c r="G286" s="85" t="n"/>
      <c r="H286" s="44">
        <f>IF(OR(ISNUMBER(F286),ISNUMBER(G286)),N(F286)-N(G286),"")</f>
        <v/>
      </c>
      <c r="I286" s="137" t="n"/>
      <c r="J286" s="117">
        <f>IF(OR(ISNUMBER(F286),ISNUMBER(G286)),IF(ISBLANK(G286),"⚠️ Chưa bóc tách định mức",IF(H286&gt;=0,"✅ OK - Cho phép đặt hàng","❌ CHẶN ĐẶT HÀNG - CẦN BẢO VỆ KL")),"")</f>
        <v/>
      </c>
      <c r="K286" s="138">
        <f>IF(OR(ISNUMBER(F286),ISNUMBER(G286)),IF(ISBLANK(G286),"Kỹ sư/Thầu phụ cần bóc tách KL bản vẽ",IF(H286&gt;=0,"Được đặt hàng tối đa "&amp;G286&amp;" "&amp;E286,"Vượt dự toán "&amp;ABS(H286)&amp;" "&amp;E286&amp;" (QS giải trình &amp; duyệt sửa BOQ)")),"")</f>
        <v/>
      </c>
    </row>
    <row r="287" ht="28.5" customHeight="1" s="75">
      <c r="A287" s="58" t="inlineStr">
        <is>
          <t>DHKK-B-I2.1.21</t>
        </is>
      </c>
      <c r="B287" s="24" t="n"/>
      <c r="C287" s="99" t="inlineStr">
        <is>
          <t>Máy lạnh cục bộ, dàn lạnh loại cassette ODU/IDU-3F/S-04, công suất lạnh: 10.0 Kw.</t>
        </is>
      </c>
      <c r="D287" s="61" t="inlineStr">
        <is>
          <t>Bộ</t>
        </is>
      </c>
      <c r="E287" s="61" t="inlineStr">
        <is>
          <t>Bộ</t>
        </is>
      </c>
      <c r="F287" s="88" t="n">
        <v>0</v>
      </c>
      <c r="G287" s="85" t="n"/>
      <c r="H287" s="44">
        <f>IF(OR(ISNUMBER(F287),ISNUMBER(G287)),N(F287)-N(G287),"")</f>
        <v/>
      </c>
      <c r="I287" s="137" t="n"/>
      <c r="J287" s="117">
        <f>IF(OR(ISNUMBER(F287),ISNUMBER(G287)),IF(ISBLANK(G287),"⚠️ Chưa bóc tách định mức",IF(H287&gt;=0,"✅ OK - Cho phép đặt hàng","❌ CHẶN ĐẶT HÀNG - CẦN BẢO VỆ KL")),"")</f>
        <v/>
      </c>
      <c r="K287" s="138">
        <f>IF(OR(ISNUMBER(F287),ISNUMBER(G287)),IF(ISBLANK(G287),"Kỹ sư/Thầu phụ cần bóc tách KL bản vẽ",IF(H287&gt;=0,"Được đặt hàng tối đa "&amp;G287&amp;" "&amp;E287,"Vượt dự toán "&amp;ABS(H287)&amp;" "&amp;E287&amp;" (QS giải trình &amp; duyệt sửa BOQ)")),"")</f>
        <v/>
      </c>
    </row>
    <row r="288" ht="28.5" customHeight="1" s="75">
      <c r="A288" s="58" t="inlineStr">
        <is>
          <t>DHKK-B-I2.1.22</t>
        </is>
      </c>
      <c r="B288" s="24" t="n"/>
      <c r="C288" s="99" t="inlineStr">
        <is>
          <t>Máy lạnh cục bộ, dàn lạnh loại cassette ODU/IDU-3F/S-05, công suất lạnh: 10.0 Kw.</t>
        </is>
      </c>
      <c r="D288" s="61" t="inlineStr">
        <is>
          <t>Bộ</t>
        </is>
      </c>
      <c r="E288" s="61" t="inlineStr">
        <is>
          <t>Bộ</t>
        </is>
      </c>
      <c r="F288" s="88" t="n">
        <v>0</v>
      </c>
      <c r="G288" s="85" t="n"/>
      <c r="H288" s="44">
        <f>IF(OR(ISNUMBER(F288),ISNUMBER(G288)),N(F288)-N(G288),"")</f>
        <v/>
      </c>
      <c r="I288" s="137" t="n"/>
      <c r="J288" s="117">
        <f>IF(OR(ISNUMBER(F288),ISNUMBER(G288)),IF(ISBLANK(G288),"⚠️ Chưa bóc tách định mức",IF(H288&gt;=0,"✅ OK - Cho phép đặt hàng","❌ CHẶN ĐẶT HÀNG - CẦN BẢO VỆ KL")),"")</f>
        <v/>
      </c>
      <c r="K288" s="138">
        <f>IF(OR(ISNUMBER(F288),ISNUMBER(G288)),IF(ISBLANK(G288),"Kỹ sư/Thầu phụ cần bóc tách KL bản vẽ",IF(H288&gt;=0,"Được đặt hàng tối đa "&amp;G288&amp;" "&amp;E288,"Vượt dự toán "&amp;ABS(H288)&amp;" "&amp;E288&amp;" (QS giải trình &amp; duyệt sửa BOQ)")),"")</f>
        <v/>
      </c>
    </row>
    <row r="289" ht="28.5" customHeight="1" s="75">
      <c r="A289" s="58" t="inlineStr">
        <is>
          <t>DHKK-B-I2.1.23</t>
        </is>
      </c>
      <c r="B289" s="24" t="n"/>
      <c r="C289" s="99" t="inlineStr">
        <is>
          <t>Máy lạnh cục bộ, dàn lạnh loại cassette ODU/IDU-3F/S-06,07, công suất lạnh: 3.5 Kw.</t>
        </is>
      </c>
      <c r="D289" s="61" t="inlineStr">
        <is>
          <t>Bộ</t>
        </is>
      </c>
      <c r="E289" s="61" t="inlineStr">
        <is>
          <t>Bộ</t>
        </is>
      </c>
      <c r="F289" s="88" t="n">
        <v>0</v>
      </c>
      <c r="G289" s="85" t="n"/>
      <c r="H289" s="44">
        <f>IF(OR(ISNUMBER(F289),ISNUMBER(G289)),N(F289)-N(G289),"")</f>
        <v/>
      </c>
      <c r="I289" s="137" t="n"/>
      <c r="J289" s="117">
        <f>IF(OR(ISNUMBER(F289),ISNUMBER(G289)),IF(ISBLANK(G289),"⚠️ Chưa bóc tách định mức",IF(H289&gt;=0,"✅ OK - Cho phép đặt hàng","❌ CHẶN ĐẶT HÀNG - CẦN BẢO VỆ KL")),"")</f>
        <v/>
      </c>
      <c r="K289" s="138">
        <f>IF(OR(ISNUMBER(F289),ISNUMBER(G289)),IF(ISBLANK(G289),"Kỹ sư/Thầu phụ cần bóc tách KL bản vẽ",IF(H289&gt;=0,"Được đặt hàng tối đa "&amp;G289&amp;" "&amp;E289,"Vượt dự toán "&amp;ABS(H289)&amp;" "&amp;E289&amp;" (QS giải trình &amp; duyệt sửa BOQ)")),"")</f>
        <v/>
      </c>
    </row>
    <row r="290" ht="13.8" customHeight="1" s="75">
      <c r="A290" s="80" t="n"/>
      <c r="B290" s="24" t="n"/>
      <c r="C290" s="101" t="n"/>
      <c r="D290" s="24" t="n"/>
      <c r="E290" s="24" t="n"/>
      <c r="F290" s="85" t="n"/>
      <c r="G290" s="85" t="n"/>
      <c r="H290" s="44" t="n"/>
      <c r="I290" s="137" t="n"/>
    </row>
    <row r="291" ht="15.6" customHeight="1" s="75">
      <c r="A291" s="58" t="inlineStr">
        <is>
          <t>DHKK-B-I2.2</t>
        </is>
      </c>
      <c r="B291" s="37" t="n">
        <v>2</v>
      </c>
      <c r="C291" s="98" t="inlineStr">
        <is>
          <t>Ống đồng và phụ kiện</t>
        </is>
      </c>
      <c r="D291" s="51" t="n"/>
      <c r="E291" s="24" t="n"/>
      <c r="F291" s="85" t="n"/>
      <c r="G291" s="85" t="n"/>
      <c r="H291" s="44" t="n"/>
      <c r="I291" s="137" t="n"/>
    </row>
    <row r="292" ht="15.6" customHeight="1" s="75">
      <c r="A292" s="58" t="inlineStr">
        <is>
          <t>DHKK-B-I2.2.2.1.0</t>
        </is>
      </c>
      <c r="B292" s="148" t="n">
        <v>46024</v>
      </c>
      <c r="C292" s="98" t="inlineStr">
        <is>
          <t>Ống đồng</t>
        </is>
      </c>
      <c r="D292" s="51" t="n"/>
      <c r="E292" s="24" t="n"/>
      <c r="F292" s="85" t="n"/>
      <c r="G292" s="85" t="n"/>
      <c r="H292" s="44" t="n"/>
      <c r="I292" s="137" t="n"/>
    </row>
    <row r="293" ht="15.6" customHeight="1" s="75">
      <c r="A293" s="58" t="inlineStr">
        <is>
          <t>DHKK-B-I2.2.2.1.1</t>
        </is>
      </c>
      <c r="B293" s="24" t="n"/>
      <c r="C293" s="100" t="inlineStr">
        <is>
          <t>Ống đồng Ø6.4 dày 0.76mm</t>
        </is>
      </c>
      <c r="D293" s="52" t="inlineStr">
        <is>
          <t>m</t>
        </is>
      </c>
      <c r="E293" s="61" t="inlineStr">
        <is>
          <t>m</t>
        </is>
      </c>
      <c r="F293" s="88" t="n">
        <v>55</v>
      </c>
      <c r="G293" s="85" t="n"/>
      <c r="H293" s="42">
        <f>IF(OR(ISNUMBER(F293),ISNUMBER(G293)),N(F293)-N(G293),"")</f>
        <v/>
      </c>
      <c r="I293" s="137" t="n"/>
      <c r="J293" s="117">
        <f>IF(OR(ISNUMBER(F293),ISNUMBER(G293)),IF(ISBLANK(G293),"⚠️ Chưa bóc tách định mức",IF(H293&gt;=0,"✅ OK - Cho phép đặt hàng","❌ CHẶN ĐẶT HÀNG - CẦN BẢO VỆ KL")),"")</f>
        <v/>
      </c>
      <c r="K293" s="138">
        <f>IF(OR(ISNUMBER(F293),ISNUMBER(G293)),IF(ISBLANK(G293),"Kỹ sư/Thầu phụ cần bóc tách KL bản vẽ",IF(H293&gt;=0,"Được đặt hàng tối đa "&amp;G293&amp;" "&amp;E293,"Vượt dự toán "&amp;ABS(H293)&amp;" "&amp;E293&amp;" (QS giải trình &amp; duyệt sửa BOQ)")),"")</f>
        <v/>
      </c>
    </row>
    <row r="294" ht="15.6" customHeight="1" s="75">
      <c r="A294" s="58" t="inlineStr">
        <is>
          <t>DHKK-B-I2.2.2.1.2</t>
        </is>
      </c>
      <c r="B294" s="24" t="n"/>
      <c r="C294" s="100" t="inlineStr">
        <is>
          <t>Ống đồng Ø12.7 dày 0.81mm</t>
        </is>
      </c>
      <c r="D294" s="52" t="inlineStr">
        <is>
          <t>m</t>
        </is>
      </c>
      <c r="E294" s="61" t="inlineStr">
        <is>
          <t>m</t>
        </is>
      </c>
      <c r="F294" s="88" t="n">
        <v>55</v>
      </c>
      <c r="G294" s="85" t="n"/>
      <c r="H294" s="42">
        <f>IF(OR(ISNUMBER(F294),ISNUMBER(G294)),N(F294)-N(G294),"")</f>
        <v/>
      </c>
      <c r="I294" s="137" t="n"/>
      <c r="J294" s="117">
        <f>IF(OR(ISNUMBER(F294),ISNUMBER(G294)),IF(ISBLANK(G294),"⚠️ Chưa bóc tách định mức",IF(H294&gt;=0,"✅ OK - Cho phép đặt hàng","❌ CHẶN ĐẶT HÀNG - CẦN BẢO VỆ KL")),"")</f>
        <v/>
      </c>
      <c r="K294" s="138">
        <f>IF(OR(ISNUMBER(F294),ISNUMBER(G294)),IF(ISBLANK(G294),"Kỹ sư/Thầu phụ cần bóc tách KL bản vẽ",IF(H294&gt;=0,"Được đặt hàng tối đa "&amp;G294&amp;" "&amp;E294,"Vượt dự toán "&amp;ABS(H294)&amp;" "&amp;E294&amp;" (QS giải trình &amp; duyệt sửa BOQ)")),"")</f>
        <v/>
      </c>
    </row>
    <row r="295" ht="15.6" customHeight="1" s="75">
      <c r="A295" s="58" t="inlineStr">
        <is>
          <t>DHKK-B-I2.2.2.1.3</t>
        </is>
      </c>
      <c r="B295" s="24" t="n"/>
      <c r="C295" s="100" t="inlineStr">
        <is>
          <t>Ống đồng Ø9.5 dày 0.81mm</t>
        </is>
      </c>
      <c r="D295" s="52" t="inlineStr">
        <is>
          <t>m</t>
        </is>
      </c>
      <c r="E295" s="61" t="inlineStr">
        <is>
          <t>m</t>
        </is>
      </c>
      <c r="F295" s="88" t="n">
        <v>324</v>
      </c>
      <c r="G295" s="85" t="n"/>
      <c r="H295" s="42">
        <f>IF(OR(ISNUMBER(F295),ISNUMBER(G295)),N(F295)-N(G295),"")</f>
        <v/>
      </c>
      <c r="I295" s="137" t="n"/>
      <c r="J295" s="117">
        <f>IF(OR(ISNUMBER(F295),ISNUMBER(G295)),IF(ISBLANK(G295),"⚠️ Chưa bóc tách định mức",IF(H295&gt;=0,"✅ OK - Cho phép đặt hàng","❌ CHẶN ĐẶT HÀNG - CẦN BẢO VỆ KL")),"")</f>
        <v/>
      </c>
      <c r="K295" s="138">
        <f>IF(OR(ISNUMBER(F295),ISNUMBER(G295)),IF(ISBLANK(G295),"Kỹ sư/Thầu phụ cần bóc tách KL bản vẽ",IF(H295&gt;=0,"Được đặt hàng tối đa "&amp;G295&amp;" "&amp;E295,"Vượt dự toán "&amp;ABS(H295)&amp;" "&amp;E295&amp;" (QS giải trình &amp; duyệt sửa BOQ)")),"")</f>
        <v/>
      </c>
    </row>
    <row r="296" ht="15.6" customHeight="1" s="75">
      <c r="A296" s="58" t="inlineStr">
        <is>
          <t>DHKK-B-I2.2.2.1.4</t>
        </is>
      </c>
      <c r="B296" s="24" t="n"/>
      <c r="C296" s="100" t="inlineStr">
        <is>
          <t>Ống đồng Ø15.9 dày 1.02mm</t>
        </is>
      </c>
      <c r="D296" s="52" t="inlineStr">
        <is>
          <t>m</t>
        </is>
      </c>
      <c r="E296" s="61" t="inlineStr">
        <is>
          <t>m</t>
        </is>
      </c>
      <c r="F296" s="88" t="n">
        <v>324</v>
      </c>
      <c r="G296" s="85" t="n"/>
      <c r="H296" s="42">
        <f>IF(OR(ISNUMBER(F296),ISNUMBER(G296)),N(F296)-N(G296),"")</f>
        <v/>
      </c>
      <c r="I296" s="137" t="n"/>
      <c r="J296" s="117">
        <f>IF(OR(ISNUMBER(F296),ISNUMBER(G296)),IF(ISBLANK(G296),"⚠️ Chưa bóc tách định mức",IF(H296&gt;=0,"✅ OK - Cho phép đặt hàng","❌ CHẶN ĐẶT HÀNG - CẦN BẢO VỆ KL")),"")</f>
        <v/>
      </c>
      <c r="K296" s="138">
        <f>IF(OR(ISNUMBER(F296),ISNUMBER(G296)),IF(ISBLANK(G296),"Kỹ sư/Thầu phụ cần bóc tách KL bản vẽ",IF(H296&gt;=0,"Được đặt hàng tối đa "&amp;G296&amp;" "&amp;E296,"Vượt dự toán "&amp;ABS(H296)&amp;" "&amp;E296&amp;" (QS giải trình &amp; duyệt sửa BOQ)")),"")</f>
        <v/>
      </c>
    </row>
    <row r="297" ht="13.8" customHeight="1" s="75">
      <c r="A297" s="80" t="n"/>
      <c r="B297" s="24" t="n"/>
      <c r="C297" s="101" t="n"/>
      <c r="D297" s="51" t="n"/>
      <c r="E297" s="24" t="n"/>
      <c r="F297" s="85" t="n"/>
      <c r="G297" s="85" t="n"/>
      <c r="H297" s="44" t="n"/>
      <c r="I297" s="137" t="n"/>
    </row>
    <row r="298" ht="15.6" customHeight="1" s="75">
      <c r="A298" s="58" t="inlineStr">
        <is>
          <t>DHKK-B-I2.2.2.0</t>
        </is>
      </c>
      <c r="B298" s="148" t="n">
        <v>46055</v>
      </c>
      <c r="C298" s="98" t="inlineStr">
        <is>
          <t>Cách nhiệt ống đồng</t>
        </is>
      </c>
      <c r="D298" s="51" t="n"/>
      <c r="E298" s="24" t="n"/>
      <c r="F298" s="85" t="n"/>
      <c r="G298" s="85" t="n"/>
      <c r="H298" s="44" t="n"/>
      <c r="I298" s="137" t="n"/>
    </row>
    <row r="299" ht="15.6" customHeight="1" s="75">
      <c r="A299" s="58" t="inlineStr">
        <is>
          <t>DHKK-B-I2.2.2.1</t>
        </is>
      </c>
      <c r="B299" s="24" t="n"/>
      <c r="C299" s="100" t="inlineStr">
        <is>
          <t>Bảo ôn ống đồng Ø6.4 dày 13mm</t>
        </is>
      </c>
      <c r="D299" s="52" t="inlineStr">
        <is>
          <t>m</t>
        </is>
      </c>
      <c r="E299" s="61" t="inlineStr">
        <is>
          <t>m</t>
        </is>
      </c>
      <c r="F299" s="88" t="n">
        <v>55</v>
      </c>
      <c r="G299" s="85" t="n"/>
      <c r="H299" s="42">
        <f>IF(OR(ISNUMBER(F299),ISNUMBER(G299)),N(F299)-N(G299),"")</f>
        <v/>
      </c>
      <c r="I299" s="137" t="n"/>
      <c r="J299" s="117">
        <f>IF(OR(ISNUMBER(F299),ISNUMBER(G299)),IF(ISBLANK(G299),"⚠️ Chưa bóc tách định mức",IF(H299&gt;=0,"✅ OK - Cho phép đặt hàng","❌ CHẶN ĐẶT HÀNG - CẦN BẢO VỆ KL")),"")</f>
        <v/>
      </c>
      <c r="K299" s="138">
        <f>IF(OR(ISNUMBER(F299),ISNUMBER(G299)),IF(ISBLANK(G299),"Kỹ sư/Thầu phụ cần bóc tách KL bản vẽ",IF(H299&gt;=0,"Được đặt hàng tối đa "&amp;G299&amp;" "&amp;E299,"Vượt dự toán "&amp;ABS(H299)&amp;" "&amp;E299&amp;" (QS giải trình &amp; duyệt sửa BOQ)")),"")</f>
        <v/>
      </c>
    </row>
    <row r="300" ht="15.6" customHeight="1" s="75">
      <c r="A300" s="58" t="inlineStr">
        <is>
          <t>DHKK-B-I2.2.2.2</t>
        </is>
      </c>
      <c r="B300" s="24" t="n"/>
      <c r="C300" s="100" t="inlineStr">
        <is>
          <t>Bảo ôn ống đồng Ø12.7 dày 13mm</t>
        </is>
      </c>
      <c r="D300" s="52" t="inlineStr">
        <is>
          <t>m</t>
        </is>
      </c>
      <c r="E300" s="61" t="inlineStr">
        <is>
          <t>m</t>
        </is>
      </c>
      <c r="F300" s="88" t="n">
        <v>55</v>
      </c>
      <c r="G300" s="85" t="n"/>
      <c r="H300" s="42">
        <f>IF(OR(ISNUMBER(F300),ISNUMBER(G300)),N(F300)-N(G300),"")</f>
        <v/>
      </c>
      <c r="I300" s="137" t="n"/>
      <c r="J300" s="117">
        <f>IF(OR(ISNUMBER(F300),ISNUMBER(G300)),IF(ISBLANK(G300),"⚠️ Chưa bóc tách định mức",IF(H300&gt;=0,"✅ OK - Cho phép đặt hàng","❌ CHẶN ĐẶT HÀNG - CẦN BẢO VỆ KL")),"")</f>
        <v/>
      </c>
      <c r="K300" s="138">
        <f>IF(OR(ISNUMBER(F300),ISNUMBER(G300)),IF(ISBLANK(G300),"Kỹ sư/Thầu phụ cần bóc tách KL bản vẽ",IF(H300&gt;=0,"Được đặt hàng tối đa "&amp;G300&amp;" "&amp;E300,"Vượt dự toán "&amp;ABS(H300)&amp;" "&amp;E300&amp;" (QS giải trình &amp; duyệt sửa BOQ)")),"")</f>
        <v/>
      </c>
    </row>
    <row r="301" ht="15.6" customHeight="1" s="75">
      <c r="A301" s="58" t="inlineStr">
        <is>
          <t>DHKK-B-I2.2.2.3</t>
        </is>
      </c>
      <c r="B301" s="24" t="n"/>
      <c r="C301" s="100" t="inlineStr">
        <is>
          <t>Bảo ôn ống đồng Ø9.5 dày 13mm</t>
        </is>
      </c>
      <c r="D301" s="52" t="inlineStr">
        <is>
          <t>m</t>
        </is>
      </c>
      <c r="E301" s="61" t="inlineStr">
        <is>
          <t>m</t>
        </is>
      </c>
      <c r="F301" s="88" t="n">
        <v>324</v>
      </c>
      <c r="G301" s="85" t="n"/>
      <c r="H301" s="42">
        <f>IF(OR(ISNUMBER(F301),ISNUMBER(G301)),N(F301)-N(G301),"")</f>
        <v/>
      </c>
      <c r="I301" s="137" t="n"/>
      <c r="J301" s="117">
        <f>IF(OR(ISNUMBER(F301),ISNUMBER(G301)),IF(ISBLANK(G301),"⚠️ Chưa bóc tách định mức",IF(H301&gt;=0,"✅ OK - Cho phép đặt hàng","❌ CHẶN ĐẶT HÀNG - CẦN BẢO VỆ KL")),"")</f>
        <v/>
      </c>
      <c r="K301" s="138">
        <f>IF(OR(ISNUMBER(F301),ISNUMBER(G301)),IF(ISBLANK(G301),"Kỹ sư/Thầu phụ cần bóc tách KL bản vẽ",IF(H301&gt;=0,"Được đặt hàng tối đa "&amp;G301&amp;" "&amp;E301,"Vượt dự toán "&amp;ABS(H301)&amp;" "&amp;E301&amp;" (QS giải trình &amp; duyệt sửa BOQ)")),"")</f>
        <v/>
      </c>
    </row>
    <row r="302" ht="15.6" customHeight="1" s="75">
      <c r="A302" s="58" t="inlineStr">
        <is>
          <t>DHKK-B-I2.2.2.4</t>
        </is>
      </c>
      <c r="B302" s="24" t="n"/>
      <c r="C302" s="100" t="inlineStr">
        <is>
          <t>Bảo ôn ống đồng Ø15.9 dày 13mm</t>
        </is>
      </c>
      <c r="D302" s="52" t="inlineStr">
        <is>
          <t>m</t>
        </is>
      </c>
      <c r="E302" s="61" t="inlineStr">
        <is>
          <t>m</t>
        </is>
      </c>
      <c r="F302" s="88" t="n">
        <v>324</v>
      </c>
      <c r="G302" s="85" t="n"/>
      <c r="H302" s="42">
        <f>IF(OR(ISNUMBER(F302),ISNUMBER(G302)),N(F302)-N(G302),"")</f>
        <v/>
      </c>
      <c r="I302" s="137" t="n"/>
      <c r="J302" s="117">
        <f>IF(OR(ISNUMBER(F302),ISNUMBER(G302)),IF(ISBLANK(G302),"⚠️ Chưa bóc tách định mức",IF(H302&gt;=0,"✅ OK - Cho phép đặt hàng","❌ CHẶN ĐẶT HÀNG - CẦN BẢO VỆ KL")),"")</f>
        <v/>
      </c>
      <c r="K302" s="138">
        <f>IF(OR(ISNUMBER(F302),ISNUMBER(G302)),IF(ISBLANK(G302),"Kỹ sư/Thầu phụ cần bóc tách KL bản vẽ",IF(H302&gt;=0,"Được đặt hàng tối đa "&amp;G302&amp;" "&amp;E302,"Vượt dự toán "&amp;ABS(H302)&amp;" "&amp;E302&amp;" (QS giải trình &amp; duyệt sửa BOQ)")),"")</f>
        <v/>
      </c>
    </row>
    <row r="303" ht="13.8" customHeight="1" s="75">
      <c r="A303" s="80" t="n"/>
      <c r="B303" s="24" t="n"/>
      <c r="C303" s="101" t="n"/>
      <c r="D303" s="51" t="n"/>
      <c r="E303" s="24" t="n"/>
      <c r="F303" s="85" t="n"/>
      <c r="G303" s="85" t="n"/>
      <c r="H303" s="44" t="n"/>
      <c r="I303" s="137" t="n"/>
    </row>
    <row r="304" ht="13.8" customHeight="1" s="75">
      <c r="A304" s="80" t="n"/>
      <c r="B304" s="24" t="n"/>
      <c r="C304" s="101" t="n"/>
      <c r="D304" s="51" t="n"/>
      <c r="E304" s="24" t="n"/>
      <c r="F304" s="85" t="n"/>
      <c r="G304" s="85" t="n"/>
      <c r="H304" s="44" t="n"/>
      <c r="I304" s="137" t="n"/>
    </row>
    <row r="305" ht="15.6" customHeight="1" s="75">
      <c r="A305" s="58" t="inlineStr">
        <is>
          <t>DHKK-B-I2.3.0.0</t>
        </is>
      </c>
      <c r="B305" s="37" t="n">
        <v>3</v>
      </c>
      <c r="C305" s="98" t="inlineStr">
        <is>
          <t>Ống nước ngưng và phụ kiện</t>
        </is>
      </c>
      <c r="D305" s="51" t="n"/>
      <c r="E305" s="24" t="n"/>
      <c r="F305" s="85" t="n"/>
      <c r="G305" s="85" t="n"/>
      <c r="H305" s="44" t="n"/>
      <c r="I305" s="137" t="n"/>
    </row>
    <row r="306" ht="15.6" customHeight="1" s="75">
      <c r="A306" s="58" t="inlineStr">
        <is>
          <t>DHKK-B-I2.3.1.0</t>
        </is>
      </c>
      <c r="B306" s="148" t="n">
        <v>46025</v>
      </c>
      <c r="C306" s="98" t="inlineStr">
        <is>
          <t>Ống nước ngưng</t>
        </is>
      </c>
      <c r="D306" s="51" t="n"/>
      <c r="E306" s="24" t="n"/>
      <c r="F306" s="85" t="n"/>
      <c r="G306" s="85" t="n"/>
      <c r="H306" s="44" t="n"/>
      <c r="I306" s="137" t="n"/>
    </row>
    <row r="307" ht="15.6" customHeight="1" s="75">
      <c r="A307" s="58" t="inlineStr">
        <is>
          <t>DHKK-B-I2.3.1.1</t>
        </is>
      </c>
      <c r="B307" s="24" t="n"/>
      <c r="C307" s="99" t="inlineStr">
        <is>
          <t>Ống thoát nước ngưng uPVC Ø27</t>
        </is>
      </c>
      <c r="D307" s="52" t="inlineStr">
        <is>
          <t>m</t>
        </is>
      </c>
      <c r="E307" s="61" t="inlineStr">
        <is>
          <t>m</t>
        </is>
      </c>
      <c r="F307" s="88" t="n">
        <v>101</v>
      </c>
      <c r="G307" s="85" t="n">
        <v>115</v>
      </c>
      <c r="H307" s="42">
        <f>IF(OR(ISNUMBER(F307),ISNUMBER(G307)),N(F307)-N(G307),"")</f>
        <v/>
      </c>
      <c r="I307" s="137" t="n"/>
      <c r="J307" s="117">
        <f>IF(OR(ISNUMBER(F307),ISNUMBER(G307)),IF(ISBLANK(G307),"⚠️ Chưa bóc tách định mức",IF(H307&gt;=0,"✅ OK - Cho phép đặt hàng","❌ CHẶN ĐẶT HÀNG - CẦN BẢO VỆ KL")),"")</f>
        <v/>
      </c>
      <c r="K307" s="138">
        <f>IF(OR(ISNUMBER(F307),ISNUMBER(G307)),IF(ISBLANK(G307),"Kỹ sư/Thầu phụ cần bóc tách KL bản vẽ",IF(H307&gt;=0,"Được đặt hàng tối đa "&amp;G307&amp;" "&amp;E307,"Vượt dự toán "&amp;ABS(H307)&amp;" "&amp;E307&amp;" (QS giải trình &amp; duyệt sửa BOQ)")),"")</f>
        <v/>
      </c>
    </row>
    <row r="308" ht="15.6" customHeight="1" s="75">
      <c r="A308" s="58" t="inlineStr">
        <is>
          <t>DHKK-B-I2.3.1.2</t>
        </is>
      </c>
      <c r="B308" s="24" t="n"/>
      <c r="C308" s="99" t="inlineStr">
        <is>
          <t>Ống thoát nước ngưng uPVC Ø34</t>
        </is>
      </c>
      <c r="D308" s="52" t="inlineStr">
        <is>
          <t>m</t>
        </is>
      </c>
      <c r="E308" s="61" t="inlineStr">
        <is>
          <t>m</t>
        </is>
      </c>
      <c r="F308" s="88" t="n">
        <v>0</v>
      </c>
      <c r="G308" s="85" t="n">
        <v>16</v>
      </c>
      <c r="H308" s="42">
        <f>IF(OR(ISNUMBER(F308),ISNUMBER(G308)),N(F308)-N(G308),"")</f>
        <v/>
      </c>
      <c r="I308" s="137" t="n"/>
      <c r="J308" s="117">
        <f>IF(OR(ISNUMBER(F308),ISNUMBER(G308)),IF(ISBLANK(G308),"⚠️ Chưa bóc tách định mức",IF(H308&gt;=0,"✅ OK - Cho phép đặt hàng","❌ CHẶN ĐẶT HÀNG - CẦN BẢO VỆ KL")),"")</f>
        <v/>
      </c>
      <c r="K308" s="138">
        <f>IF(OR(ISNUMBER(F308),ISNUMBER(G308)),IF(ISBLANK(G308),"Kỹ sư/Thầu phụ cần bóc tách KL bản vẽ",IF(H308&gt;=0,"Được đặt hàng tối đa "&amp;G308&amp;" "&amp;E308,"Vượt dự toán "&amp;ABS(H308)&amp;" "&amp;E308&amp;" (QS giải trình &amp; duyệt sửa BOQ)")),"")</f>
        <v/>
      </c>
    </row>
    <row r="309" ht="15.6" customHeight="1" s="75">
      <c r="A309" s="58" t="inlineStr">
        <is>
          <t>DHKK-B-I2.3.1.3</t>
        </is>
      </c>
      <c r="B309" s="24" t="n"/>
      <c r="C309" s="100" t="n"/>
      <c r="D309" s="52" t="inlineStr">
        <is>
          <t>Lô</t>
        </is>
      </c>
      <c r="E309" s="61" t="inlineStr">
        <is>
          <t>Lô</t>
        </is>
      </c>
      <c r="F309" s="88" t="n">
        <v>1</v>
      </c>
      <c r="G309" s="85" t="n"/>
      <c r="H309" s="42">
        <f>IF(OR(ISNUMBER(F309),ISNUMBER(G309)),N(F309)-N(G309),"")</f>
        <v/>
      </c>
      <c r="I309" s="137" t="n"/>
      <c r="J309" s="117">
        <f>IF(OR(ISNUMBER(F309),ISNUMBER(G309)),IF(ISBLANK(G309),"⚠️ Chưa bóc tách định mức",IF(H309&gt;=0,"✅ OK - Cho phép đặt hàng","❌ CHẶN ĐẶT HÀNG - CẦN BẢO VỆ KL")),"")</f>
        <v/>
      </c>
      <c r="K309" s="138">
        <f>IF(OR(ISNUMBER(F309),ISNUMBER(G309)),IF(ISBLANK(G309),"Kỹ sư/Thầu phụ cần bóc tách KL bản vẽ",IF(H309&gt;=0,"Được đặt hàng tối đa "&amp;G309&amp;" "&amp;E309,"Vượt dự toán "&amp;ABS(H309)&amp;" "&amp;E309&amp;" (QS giải trình &amp; duyệt sửa BOQ)")),"")</f>
        <v/>
      </c>
    </row>
    <row r="310" ht="15.6" customHeight="1" s="75">
      <c r="A310" s="58" t="inlineStr">
        <is>
          <t>DHKK-B-I2.3.1.4</t>
        </is>
      </c>
      <c r="B310" s="24" t="n"/>
      <c r="C310" s="100" t="n"/>
      <c r="D310" s="52" t="inlineStr">
        <is>
          <t>Lô</t>
        </is>
      </c>
      <c r="E310" s="61" t="inlineStr">
        <is>
          <t>Lô</t>
        </is>
      </c>
      <c r="F310" s="88" t="n">
        <v>0</v>
      </c>
      <c r="G310" s="85" t="n"/>
      <c r="H310" s="44">
        <f>IF(OR(ISNUMBER(F310),ISNUMBER(G310)),N(F310)-N(G310),"")</f>
        <v/>
      </c>
      <c r="I310" s="137" t="n"/>
      <c r="J310" s="117">
        <f>IF(OR(ISNUMBER(F310),ISNUMBER(G310)),IF(ISBLANK(G310),"⚠️ Chưa bóc tách định mức",IF(H310&gt;=0,"✅ OK - Cho phép đặt hàng","❌ CHẶN ĐẶT HÀNG - CẦN BẢO VỆ KL")),"")</f>
        <v/>
      </c>
      <c r="K310" s="138">
        <f>IF(OR(ISNUMBER(F310),ISNUMBER(G310)),IF(ISBLANK(G310),"Kỹ sư/Thầu phụ cần bóc tách KL bản vẽ",IF(H310&gt;=0,"Được đặt hàng tối đa "&amp;G310&amp;" "&amp;E310,"Vượt dự toán "&amp;ABS(H310)&amp;" "&amp;E310&amp;" (QS giải trình &amp; duyệt sửa BOQ)")),"")</f>
        <v/>
      </c>
    </row>
    <row r="311" ht="15.6" customHeight="1" s="75">
      <c r="A311" s="58" t="inlineStr">
        <is>
          <t>DHKK-B-I2.3.1.5</t>
        </is>
      </c>
      <c r="B311" s="24" t="n"/>
      <c r="C311" s="101" t="n"/>
      <c r="D311" s="51" t="n"/>
      <c r="E311" s="24" t="n"/>
      <c r="F311" s="85" t="n"/>
      <c r="G311" s="85" t="n"/>
      <c r="H311" s="44" t="n"/>
      <c r="I311" s="137" t="n"/>
    </row>
    <row r="312" ht="13.8" customHeight="1" s="75">
      <c r="A312" s="80" t="n"/>
      <c r="B312" s="24" t="n"/>
      <c r="C312" s="101" t="n"/>
      <c r="D312" s="51" t="n"/>
      <c r="E312" s="24" t="n"/>
      <c r="F312" s="85" t="n"/>
      <c r="G312" s="85" t="n"/>
      <c r="H312" s="44" t="n"/>
      <c r="I312" s="137" t="n"/>
    </row>
    <row r="313" ht="15.6" customHeight="1" s="75">
      <c r="A313" s="58" t="inlineStr">
        <is>
          <t>DHKK-B-I2.3.2.0</t>
        </is>
      </c>
      <c r="B313" s="148" t="n">
        <v>46056</v>
      </c>
      <c r="C313" s="98" t="inlineStr">
        <is>
          <t>Cách nhiệt ống nước ngưng</t>
        </is>
      </c>
      <c r="D313" s="51" t="n"/>
      <c r="E313" s="24" t="n"/>
      <c r="F313" s="85" t="n"/>
      <c r="G313" s="85" t="n"/>
      <c r="H313" s="44" t="n"/>
      <c r="I313" s="137" t="n"/>
    </row>
    <row r="314" ht="15.6" customHeight="1" s="75">
      <c r="A314" s="58" t="inlineStr">
        <is>
          <t>DHKK-B-I2.3.2.1</t>
        </is>
      </c>
      <c r="B314" s="24" t="n"/>
      <c r="C314" s="99" t="inlineStr">
        <is>
          <t>Bảo ôn ống nước ngưng Ø27 dày 13mm</t>
        </is>
      </c>
      <c r="D314" s="52" t="inlineStr">
        <is>
          <t>m</t>
        </is>
      </c>
      <c r="E314" s="61" t="inlineStr">
        <is>
          <t>m</t>
        </is>
      </c>
      <c r="F314" s="88" t="n">
        <v>101</v>
      </c>
      <c r="G314" s="85" t="n">
        <v>115</v>
      </c>
      <c r="H314" s="42">
        <f>IF(OR(ISNUMBER(F314),ISNUMBER(G314)),N(F314)-N(G314),"")</f>
        <v/>
      </c>
      <c r="I314" s="137" t="n"/>
      <c r="J314" s="117">
        <f>IF(OR(ISNUMBER(F314),ISNUMBER(G314)),IF(ISBLANK(G314),"⚠️ Chưa bóc tách định mức",IF(H314&gt;=0,"✅ OK - Cho phép đặt hàng","❌ CHẶN ĐẶT HÀNG - CẦN BẢO VỆ KL")),"")</f>
        <v/>
      </c>
      <c r="K314" s="138">
        <f>IF(OR(ISNUMBER(F314),ISNUMBER(G314)),IF(ISBLANK(G314),"Kỹ sư/Thầu phụ cần bóc tách KL bản vẽ",IF(H314&gt;=0,"Được đặt hàng tối đa "&amp;G314&amp;" "&amp;E314,"Vượt dự toán "&amp;ABS(H314)&amp;" "&amp;E314&amp;" (QS giải trình &amp; duyệt sửa BOQ)")),"")</f>
        <v/>
      </c>
    </row>
    <row r="315" ht="15.6" customHeight="1" s="75">
      <c r="A315" s="58" t="inlineStr">
        <is>
          <t>DHKK-B-I2.3.2.2</t>
        </is>
      </c>
      <c r="B315" s="24" t="n"/>
      <c r="C315" s="99" t="inlineStr">
        <is>
          <t>Bảo ôn ống nước ngưng Ø34 dày 13mm</t>
        </is>
      </c>
      <c r="D315" s="52" t="inlineStr">
        <is>
          <t>m</t>
        </is>
      </c>
      <c r="E315" s="61" t="inlineStr">
        <is>
          <t>m</t>
        </is>
      </c>
      <c r="F315" s="88" t="n">
        <v>0</v>
      </c>
      <c r="G315" s="85" t="n">
        <v>16</v>
      </c>
      <c r="H315" s="44">
        <f>IF(OR(ISNUMBER(F315),ISNUMBER(G315)),N(F315)-N(G315),"")</f>
        <v/>
      </c>
      <c r="I315" s="137" t="n"/>
      <c r="J315" s="117">
        <f>IF(OR(ISNUMBER(F315),ISNUMBER(G315)),IF(ISBLANK(G315),"⚠️ Chưa bóc tách định mức",IF(H315&gt;=0,"✅ OK - Cho phép đặt hàng","❌ CHẶN ĐẶT HÀNG - CẦN BẢO VỆ KL")),"")</f>
        <v/>
      </c>
      <c r="K315" s="138">
        <f>IF(OR(ISNUMBER(F315),ISNUMBER(G315)),IF(ISBLANK(G315),"Kỹ sư/Thầu phụ cần bóc tách KL bản vẽ",IF(H315&gt;=0,"Được đặt hàng tối đa "&amp;G315&amp;" "&amp;E315,"Vượt dự toán "&amp;ABS(H315)&amp;" "&amp;E315&amp;" (QS giải trình &amp; duyệt sửa BOQ)")),"")</f>
        <v/>
      </c>
    </row>
    <row r="316" ht="13.8" customHeight="1" s="75">
      <c r="A316" s="80" t="n"/>
      <c r="B316" s="24" t="n"/>
      <c r="C316" s="101" t="n"/>
      <c r="D316" s="51" t="n"/>
      <c r="E316" s="24" t="n"/>
      <c r="F316" s="85" t="n"/>
      <c r="G316" s="85" t="n"/>
      <c r="H316" s="44" t="n"/>
      <c r="I316" s="137" t="n"/>
    </row>
    <row r="317" ht="15.6" customHeight="1" s="75">
      <c r="A317" s="58" t="inlineStr">
        <is>
          <t>DHKK-B-I2.4.0</t>
        </is>
      </c>
      <c r="B317" s="37" t="n">
        <v>4</v>
      </c>
      <c r="C317" s="98" t="inlineStr">
        <is>
          <t>Phần điều khiển</t>
        </is>
      </c>
      <c r="D317" s="51" t="n"/>
      <c r="E317" s="24" t="n"/>
      <c r="F317" s="85" t="n"/>
      <c r="G317" s="85" t="n"/>
      <c r="H317" s="44" t="n"/>
      <c r="I317" s="137" t="n"/>
    </row>
    <row r="318" ht="15.6" customHeight="1" s="75">
      <c r="A318" s="58" t="inlineStr">
        <is>
          <t>DHKK-B-I2.4.1</t>
        </is>
      </c>
      <c r="B318" s="24" t="n"/>
      <c r="C318" s="99" t="inlineStr">
        <is>
          <t>2Cx1.5mm2 Cu/PVC</t>
        </is>
      </c>
      <c r="D318" s="52" t="inlineStr">
        <is>
          <t>m</t>
        </is>
      </c>
      <c r="E318" s="61" t="inlineStr">
        <is>
          <t>m</t>
        </is>
      </c>
      <c r="F318" s="88" t="n">
        <v>192</v>
      </c>
      <c r="G318" s="85" t="n"/>
      <c r="H318" s="42">
        <f>IF(OR(ISNUMBER(F318),ISNUMBER(G318)),N(F318)-N(G318),"")</f>
        <v/>
      </c>
      <c r="I318" s="137" t="n"/>
      <c r="J318" s="117">
        <f>IF(OR(ISNUMBER(F318),ISNUMBER(G318)),IF(ISBLANK(G318),"⚠️ Chưa bóc tách định mức",IF(H318&gt;=0,"✅ OK - Cho phép đặt hàng","❌ CHẶN ĐẶT HÀNG - CẦN BẢO VỆ KL")),"")</f>
        <v/>
      </c>
      <c r="K318" s="138">
        <f>IF(OR(ISNUMBER(F318),ISNUMBER(G318)),IF(ISBLANK(G318),"Kỹ sư/Thầu phụ cần bóc tách KL bản vẽ",IF(H318&gt;=0,"Được đặt hàng tối đa "&amp;G318&amp;" "&amp;E318,"Vượt dự toán "&amp;ABS(H318)&amp;" "&amp;E318&amp;" (QS giải trình &amp; duyệt sửa BOQ)")),"")</f>
        <v/>
      </c>
    </row>
    <row r="319" ht="15.6" customHeight="1" s="75">
      <c r="A319" s="58" t="inlineStr">
        <is>
          <t>DHKK-B-I2.4.2</t>
        </is>
      </c>
      <c r="B319" s="24" t="n"/>
      <c r="C319" s="99" t="inlineStr">
        <is>
          <t>4Cx1.5mm2 Cu/PVC</t>
        </is>
      </c>
      <c r="D319" s="52" t="inlineStr">
        <is>
          <t>m</t>
        </is>
      </c>
      <c r="E319" s="61" t="inlineStr">
        <is>
          <t>m</t>
        </is>
      </c>
      <c r="F319" s="88" t="n">
        <v>379</v>
      </c>
      <c r="G319" s="85" t="n"/>
      <c r="H319" s="42">
        <f>IF(OR(ISNUMBER(F319),ISNUMBER(G319)),N(F319)-N(G319),"")</f>
        <v/>
      </c>
      <c r="I319" s="137" t="n"/>
      <c r="J319" s="117">
        <f>IF(OR(ISNUMBER(F319),ISNUMBER(G319)),IF(ISBLANK(G319),"⚠️ Chưa bóc tách định mức",IF(H319&gt;=0,"✅ OK - Cho phép đặt hàng","❌ CHẶN ĐẶT HÀNG - CẦN BẢO VỆ KL")),"")</f>
        <v/>
      </c>
      <c r="K319" s="138">
        <f>IF(OR(ISNUMBER(F319),ISNUMBER(G319)),IF(ISBLANK(G319),"Kỹ sư/Thầu phụ cần bóc tách KL bản vẽ",IF(H319&gt;=0,"Được đặt hàng tối đa "&amp;G319&amp;" "&amp;E319,"Vượt dự toán "&amp;ABS(H319)&amp;" "&amp;E319&amp;" (QS giải trình &amp; duyệt sửa BOQ)")),"")</f>
        <v/>
      </c>
    </row>
    <row r="320" ht="15.6" customHeight="1" s="75">
      <c r="A320" s="58" t="inlineStr">
        <is>
          <t>DHKK-B-I2.4.5</t>
        </is>
      </c>
      <c r="B320" s="24" t="n"/>
      <c r="C320" s="101" t="n"/>
      <c r="D320" s="51" t="n"/>
      <c r="E320" s="24" t="n"/>
      <c r="F320" s="85" t="n"/>
      <c r="G320" s="85" t="n"/>
      <c r="H320" s="44" t="n"/>
      <c r="I320" s="137" t="n"/>
    </row>
    <row r="321" ht="14.1" customHeight="1" s="75">
      <c r="A321" s="80" t="n"/>
      <c r="B321" s="37" t="n">
        <v>5</v>
      </c>
      <c r="C321" s="98" t="inlineStr">
        <is>
          <t>Công tác khác</t>
        </is>
      </c>
      <c r="D321" s="51" t="n"/>
      <c r="E321" s="24" t="n"/>
      <c r="F321" s="85" t="n"/>
      <c r="G321" s="85" t="n"/>
      <c r="H321" s="44" t="n"/>
      <c r="I321" s="137" t="n"/>
    </row>
    <row r="322" ht="13.8" customHeight="1" s="75">
      <c r="A322" s="80" t="n"/>
      <c r="B322" s="24" t="n"/>
      <c r="C322" s="101" t="n"/>
      <c r="D322" s="51" t="n"/>
      <c r="E322" s="24" t="n"/>
      <c r="F322" s="85" t="n"/>
      <c r="G322" s="85" t="n"/>
      <c r="H322" s="44" t="n"/>
      <c r="I322" s="137" t="n"/>
    </row>
    <row r="323" ht="15.6" customHeight="1" s="75">
      <c r="A323" s="58" t="inlineStr">
        <is>
          <t>DHKK-B-II</t>
        </is>
      </c>
      <c r="B323" s="33" t="inlineStr">
        <is>
          <t>II</t>
        </is>
      </c>
      <c r="C323" s="97" t="inlineStr">
        <is>
          <t>HỆ THỐNG TẠO ÁP CẦU THANG</t>
        </is>
      </c>
      <c r="D323" s="53" t="n"/>
      <c r="E323" s="34" t="n"/>
      <c r="F323" s="87" t="n"/>
      <c r="G323" s="87" t="n"/>
      <c r="H323" s="35" t="n"/>
      <c r="I323" s="35" t="n"/>
    </row>
    <row r="324" ht="15.6" customHeight="1" s="75">
      <c r="A324" s="58" t="inlineStr">
        <is>
          <t>DHKK-B-II.1.0</t>
        </is>
      </c>
      <c r="B324" s="37" t="n">
        <v>1</v>
      </c>
      <c r="C324" s="98" t="inlineStr">
        <is>
          <t>Quạt thông gió</t>
        </is>
      </c>
      <c r="D324" s="51" t="n"/>
      <c r="E324" s="24" t="n"/>
      <c r="F324" s="85" t="n"/>
      <c r="G324" s="85" t="n"/>
      <c r="H324" s="44" t="n"/>
      <c r="I324" s="137" t="n"/>
    </row>
    <row r="325" ht="56.1" customHeight="1" s="75">
      <c r="A325" s="58" t="inlineStr">
        <is>
          <t>DHKK-B-II.1.1</t>
        </is>
      </c>
      <c r="B325" s="24" t="n"/>
      <c r="C325" s="99" t="inlineStr">
        <is>
          <t>Quạt cấp khí kiểu hướng trục nối ống gió PAF-A-3F-01,03,04
 + Lưu lượng: 6910 l/s
 + Áp suất : 200 Pa</t>
        </is>
      </c>
      <c r="D325" s="52" t="inlineStr">
        <is>
          <t>Bộ</t>
        </is>
      </c>
      <c r="E325" s="61" t="inlineStr">
        <is>
          <t>Bộ</t>
        </is>
      </c>
      <c r="F325" s="88" t="n">
        <v>3</v>
      </c>
      <c r="G325" s="85" t="n"/>
      <c r="H325" s="42">
        <f>IF(OR(ISNUMBER(F325),ISNUMBER(G325)),N(F325)-N(G325),"")</f>
        <v/>
      </c>
      <c r="I325" s="137" t="n"/>
      <c r="J325" s="117">
        <f>IF(OR(ISNUMBER(F325),ISNUMBER(G325)),IF(ISBLANK(G325),"⚠️ Chưa bóc tách định mức",IF(H325&gt;=0,"✅ OK - Cho phép đặt hàng","❌ CHẶN ĐẶT HÀNG - CẦN BẢO VỆ KL")),"")</f>
        <v/>
      </c>
      <c r="K325" s="138">
        <f>IF(OR(ISNUMBER(F325),ISNUMBER(G325)),IF(ISBLANK(G325),"Kỹ sư/Thầu phụ cần bóc tách KL bản vẽ",IF(H325&gt;=0,"Được đặt hàng tối đa "&amp;G325&amp;" "&amp;E325,"Vượt dự toán "&amp;ABS(H325)&amp;" "&amp;E325&amp;" (QS giải trình &amp; duyệt sửa BOQ)")),"")</f>
        <v/>
      </c>
    </row>
    <row r="326" ht="56.1" customHeight="1" s="75">
      <c r="A326" s="58" t="inlineStr">
        <is>
          <t>DHKK-B-II.1.2</t>
        </is>
      </c>
      <c r="B326" s="24" t="n"/>
      <c r="C326" s="99" t="inlineStr">
        <is>
          <t>Quạt cấp khí kiểu hướng trục nối ống gió PAF-A-3F-02
 + Lưu lượng: 6910 l/s
 + Áp suất : 300 Pa</t>
        </is>
      </c>
      <c r="D326" s="52" t="inlineStr">
        <is>
          <t>Bộ</t>
        </is>
      </c>
      <c r="E326" s="61" t="inlineStr">
        <is>
          <t>Bộ</t>
        </is>
      </c>
      <c r="F326" s="88" t="n">
        <v>1</v>
      </c>
      <c r="G326" s="85" t="n"/>
      <c r="H326" s="42">
        <f>IF(OR(ISNUMBER(F326),ISNUMBER(G326)),N(F326)-N(G326),"")</f>
        <v/>
      </c>
      <c r="I326" s="137" t="n"/>
      <c r="J326" s="117">
        <f>IF(OR(ISNUMBER(F326),ISNUMBER(G326)),IF(ISBLANK(G326),"⚠️ Chưa bóc tách định mức",IF(H326&gt;=0,"✅ OK - Cho phép đặt hàng","❌ CHẶN ĐẶT HÀNG - CẦN BẢO VỆ KL")),"")</f>
        <v/>
      </c>
      <c r="K326" s="138">
        <f>IF(OR(ISNUMBER(F326),ISNUMBER(G326)),IF(ISBLANK(G326),"Kỹ sư/Thầu phụ cần bóc tách KL bản vẽ",IF(H326&gt;=0,"Được đặt hàng tối đa "&amp;G326&amp;" "&amp;E326,"Vượt dự toán "&amp;ABS(H326)&amp;" "&amp;E326&amp;" (QS giải trình &amp; duyệt sửa BOQ)")),"")</f>
        <v/>
      </c>
    </row>
    <row r="327" ht="56.1" customHeight="1" s="75">
      <c r="A327" s="58" t="inlineStr">
        <is>
          <t>DHKK-B-II.1.3</t>
        </is>
      </c>
      <c r="B327" s="24" t="n"/>
      <c r="C327" s="99" t="inlineStr">
        <is>
          <t>Quạt cấp khí kiểu hướng trục nối ống gió PAF-B-2F-01
 + Lưu lượng: 6910 l/s
 + Áp suất : 200 Pa</t>
        </is>
      </c>
      <c r="D327" s="61" t="inlineStr">
        <is>
          <t>Bộ</t>
        </is>
      </c>
      <c r="E327" s="61" t="inlineStr">
        <is>
          <t>Bộ</t>
        </is>
      </c>
      <c r="F327" s="88" t="n">
        <v>0</v>
      </c>
      <c r="G327" s="85" t="n"/>
      <c r="H327" s="44">
        <f>IF(OR(ISNUMBER(F327),ISNUMBER(G327)),N(F327)-N(G327),"")</f>
        <v/>
      </c>
      <c r="I327" s="137" t="n"/>
      <c r="J327" s="117">
        <f>IF(OR(ISNUMBER(F327),ISNUMBER(G327)),IF(ISBLANK(G327),"⚠️ Chưa bóc tách định mức",IF(H327&gt;=0,"✅ OK - Cho phép đặt hàng","❌ CHẶN ĐẶT HÀNG - CẦN BẢO VỆ KL")),"")</f>
        <v/>
      </c>
      <c r="K327" s="138">
        <f>IF(OR(ISNUMBER(F327),ISNUMBER(G327)),IF(ISBLANK(G327),"Kỹ sư/Thầu phụ cần bóc tách KL bản vẽ",IF(H327&gt;=0,"Được đặt hàng tối đa "&amp;G327&amp;" "&amp;E327,"Vượt dự toán "&amp;ABS(H327)&amp;" "&amp;E327&amp;" (QS giải trình &amp; duyệt sửa BOQ)")),"")</f>
        <v/>
      </c>
    </row>
    <row r="328" ht="56.1" customHeight="1" s="75">
      <c r="A328" s="58" t="inlineStr">
        <is>
          <t>DHKK-B-II.1.4</t>
        </is>
      </c>
      <c r="B328" s="24" t="n"/>
      <c r="C328" s="99" t="inlineStr">
        <is>
          <t>Quạt cấp khí kiểu hướng trục nối ống gió PAF-B-3F-01
 + Lưu lượng: 6910 l/s
 + Áp suất : 250 Pa</t>
        </is>
      </c>
      <c r="D328" s="61" t="inlineStr">
        <is>
          <t>Bộ</t>
        </is>
      </c>
      <c r="E328" s="61" t="inlineStr">
        <is>
          <t>Bộ</t>
        </is>
      </c>
      <c r="F328" s="88" t="n">
        <v>0</v>
      </c>
      <c r="G328" s="85" t="n"/>
      <c r="H328" s="44">
        <f>IF(OR(ISNUMBER(F328),ISNUMBER(G328)),N(F328)-N(G328),"")</f>
        <v/>
      </c>
      <c r="I328" s="137" t="n"/>
      <c r="J328" s="117">
        <f>IF(OR(ISNUMBER(F328),ISNUMBER(G328)),IF(ISBLANK(G328),"⚠️ Chưa bóc tách định mức",IF(H328&gt;=0,"✅ OK - Cho phép đặt hàng","❌ CHẶN ĐẶT HÀNG - CẦN BẢO VỆ KL")),"")</f>
        <v/>
      </c>
      <c r="K328" s="138">
        <f>IF(OR(ISNUMBER(F328),ISNUMBER(G328)),IF(ISBLANK(G328),"Kỹ sư/Thầu phụ cần bóc tách KL bản vẽ",IF(H328&gt;=0,"Được đặt hàng tối đa "&amp;G328&amp;" "&amp;E328,"Vượt dự toán "&amp;ABS(H328)&amp;" "&amp;E328&amp;" (QS giải trình &amp; duyệt sửa BOQ)")),"")</f>
        <v/>
      </c>
    </row>
    <row r="329" ht="56.1" customHeight="1" s="75">
      <c r="A329" s="58" t="inlineStr">
        <is>
          <t>DHKK-B-II.1.5</t>
        </is>
      </c>
      <c r="B329" s="24" t="n"/>
      <c r="C329" s="99" t="inlineStr">
        <is>
          <t>Quạt cấp khí kiểu hướng trục nối ống gió PAF-B-3F-02
 + Lưu lượng: 6910 l/s
 + Áp suất : 200 Pa</t>
        </is>
      </c>
      <c r="D329" s="61" t="inlineStr">
        <is>
          <t>Bộ</t>
        </is>
      </c>
      <c r="E329" s="61" t="inlineStr">
        <is>
          <t>Bộ</t>
        </is>
      </c>
      <c r="F329" s="88" t="n">
        <v>0</v>
      </c>
      <c r="G329" s="85" t="n"/>
      <c r="H329" s="44">
        <f>IF(OR(ISNUMBER(F329),ISNUMBER(G329)),N(F329)-N(G329),"")</f>
        <v/>
      </c>
      <c r="I329" s="137" t="n"/>
      <c r="J329" s="117">
        <f>IF(OR(ISNUMBER(F329),ISNUMBER(G329)),IF(ISBLANK(G329),"⚠️ Chưa bóc tách định mức",IF(H329&gt;=0,"✅ OK - Cho phép đặt hàng","❌ CHẶN ĐẶT HÀNG - CẦN BẢO VỆ KL")),"")</f>
        <v/>
      </c>
      <c r="K329" s="138">
        <f>IF(OR(ISNUMBER(F329),ISNUMBER(G329)),IF(ISBLANK(G329),"Kỹ sư/Thầu phụ cần bóc tách KL bản vẽ",IF(H329&gt;=0,"Được đặt hàng tối đa "&amp;G329&amp;" "&amp;E329,"Vượt dự toán "&amp;ABS(H329)&amp;" "&amp;E329&amp;" (QS giải trình &amp; duyệt sửa BOQ)")),"")</f>
        <v/>
      </c>
    </row>
    <row r="330" ht="15.6" customHeight="1" s="75">
      <c r="A330" s="58" t="inlineStr">
        <is>
          <t>DHKK-B-II.1.6</t>
        </is>
      </c>
      <c r="B330" s="24" t="n"/>
      <c r="C330" s="99" t="inlineStr">
        <is>
          <t>Nối mềm cho quạt</t>
        </is>
      </c>
      <c r="D330" s="61" t="inlineStr">
        <is>
          <t>Bộ</t>
        </is>
      </c>
      <c r="E330" s="61" t="inlineStr">
        <is>
          <t>Bộ</t>
        </is>
      </c>
      <c r="F330" s="88" t="n">
        <v>4</v>
      </c>
      <c r="G330" s="85" t="n"/>
      <c r="H330" s="42">
        <f>IF(OR(ISNUMBER(F330),ISNUMBER(G330)),N(F330)-N(G330),"")</f>
        <v/>
      </c>
      <c r="I330" s="142" t="inlineStr">
        <is>
          <t>1 bộ gồm 2 cái</t>
        </is>
      </c>
      <c r="J330" s="117">
        <f>IF(OR(ISNUMBER(F330),ISNUMBER(G330)),IF(ISBLANK(G330),"⚠️ Chưa bóc tách định mức",IF(H330&gt;=0,"✅ OK - Cho phép đặt hàng","❌ CHẶN ĐẶT HÀNG - CẦN BẢO VỆ KL")),"")</f>
        <v/>
      </c>
      <c r="K330" s="138">
        <f>IF(OR(ISNUMBER(F330),ISNUMBER(G330)),IF(ISBLANK(G330),"Kỹ sư/Thầu phụ cần bóc tách KL bản vẽ",IF(H330&gt;=0,"Được đặt hàng tối đa "&amp;G330&amp;" "&amp;E330,"Vượt dự toán "&amp;ABS(H330)&amp;" "&amp;E330&amp;" (QS giải trình &amp; duyệt sửa BOQ)")),"")</f>
        <v/>
      </c>
    </row>
    <row r="331" ht="13.8" customHeight="1" s="75">
      <c r="A331" s="80" t="n"/>
      <c r="B331" s="24" t="n"/>
      <c r="C331" s="101" t="n"/>
      <c r="D331" s="24" t="n"/>
      <c r="E331" s="24" t="n"/>
      <c r="F331" s="85" t="n"/>
      <c r="G331" s="85" t="n"/>
      <c r="H331" s="44" t="n"/>
      <c r="I331" s="137" t="n"/>
    </row>
    <row r="332" ht="14.1" customHeight="1" s="75">
      <c r="A332" s="80" t="n"/>
      <c r="B332" s="37" t="n">
        <v>2</v>
      </c>
      <c r="C332" s="98" t="inlineStr">
        <is>
          <t>Miệng gió, van gió</t>
        </is>
      </c>
      <c r="D332" s="24" t="n"/>
      <c r="E332" s="24" t="n"/>
      <c r="F332" s="85" t="n"/>
      <c r="G332" s="85" t="n"/>
      <c r="H332" s="44" t="n"/>
      <c r="I332" s="137" t="n"/>
    </row>
    <row r="333" ht="15.6" customHeight="1" s="75">
      <c r="A333" s="58" t="inlineStr">
        <is>
          <t>DHKK-B-II.2.1</t>
        </is>
      </c>
      <c r="B333" s="24" t="n"/>
      <c r="C333" s="99" t="inlineStr">
        <is>
          <t>FAL 1350x1800+I.S</t>
        </is>
      </c>
      <c r="D333" s="61" t="inlineStr">
        <is>
          <t>Cái</t>
        </is>
      </c>
      <c r="E333" s="61" t="inlineStr">
        <is>
          <t>Cái</t>
        </is>
      </c>
      <c r="F333" s="88" t="n">
        <v>4</v>
      </c>
      <c r="G333" s="85" t="n"/>
      <c r="H333" s="42">
        <f>IF(OR(ISNUMBER(F333),ISNUMBER(G333)),N(F333)-N(G333),"")</f>
        <v/>
      </c>
      <c r="I333" s="142" t="inlineStr">
        <is>
          <t>Louver nan Z kèm LCCT</t>
        </is>
      </c>
      <c r="J333" s="117">
        <f>IF(OR(ISNUMBER(F333),ISNUMBER(G333)),IF(ISBLANK(G333),"⚠️ Chưa bóc tách định mức",IF(H333&gt;=0,"✅ OK - Cho phép đặt hàng","❌ CHẶN ĐẶT HÀNG - CẦN BẢO VỆ KL")),"")</f>
        <v/>
      </c>
      <c r="K333" s="138">
        <f>IF(OR(ISNUMBER(F333),ISNUMBER(G333)),IF(ISBLANK(G333),"Kỹ sư/Thầu phụ cần bóc tách KL bản vẽ",IF(H333&gt;=0,"Được đặt hàng tối đa "&amp;G333&amp;" "&amp;E333,"Vượt dự toán "&amp;ABS(H333)&amp;" "&amp;E333&amp;" (QS giải trình &amp; duyệt sửa BOQ)")),"")</f>
        <v/>
      </c>
    </row>
    <row r="334" ht="15.6" customHeight="1" s="75">
      <c r="A334" s="58" t="inlineStr">
        <is>
          <t>DHKK-B-II.2.2</t>
        </is>
      </c>
      <c r="B334" s="24" t="n"/>
      <c r="C334" s="99" t="inlineStr">
        <is>
          <t>PRD 1200x1000+I.S</t>
        </is>
      </c>
      <c r="D334" s="61" t="inlineStr">
        <is>
          <t>Cái</t>
        </is>
      </c>
      <c r="E334" s="61" t="inlineStr">
        <is>
          <t>Cái</t>
        </is>
      </c>
      <c r="F334" s="88" t="n">
        <v>4</v>
      </c>
      <c r="G334" s="85" t="n"/>
      <c r="H334" s="42">
        <f>IF(OR(ISNUMBER(F334),ISNUMBER(G334)),N(F334)-N(G334),"")</f>
        <v/>
      </c>
      <c r="I334" s="137" t="n"/>
      <c r="J334" s="117">
        <f>IF(OR(ISNUMBER(F334),ISNUMBER(G334)),IF(ISBLANK(G334),"⚠️ Chưa bóc tách định mức",IF(H334&gt;=0,"✅ OK - Cho phép đặt hàng","❌ CHẶN ĐẶT HÀNG - CẦN BẢO VỆ KL")),"")</f>
        <v/>
      </c>
      <c r="K334" s="138">
        <f>IF(OR(ISNUMBER(F334),ISNUMBER(G334)),IF(ISBLANK(G334),"Kỹ sư/Thầu phụ cần bóc tách KL bản vẽ",IF(H334&gt;=0,"Được đặt hàng tối đa "&amp;G334&amp;" "&amp;E334,"Vượt dự toán "&amp;ABS(H334)&amp;" "&amp;E334&amp;" (QS giải trình &amp; duyệt sửa BOQ)")),"")</f>
        <v/>
      </c>
    </row>
    <row r="335" ht="15.6" customHeight="1" s="75">
      <c r="A335" s="58" t="inlineStr">
        <is>
          <t>DHKK-B-II.2.3</t>
        </is>
      </c>
      <c r="B335" s="24" t="n"/>
      <c r="C335" s="99" t="inlineStr">
        <is>
          <t>PRD 1200x500</t>
        </is>
      </c>
      <c r="D335" s="61" t="inlineStr">
        <is>
          <t>Cái</t>
        </is>
      </c>
      <c r="E335" s="61" t="inlineStr">
        <is>
          <t>Cái</t>
        </is>
      </c>
      <c r="F335" s="88" t="n">
        <v>2</v>
      </c>
      <c r="G335" s="85" t="n"/>
      <c r="H335" s="42">
        <f>IF(OR(ISNUMBER(F335),ISNUMBER(G335)),N(F335)-N(G335),"")</f>
        <v/>
      </c>
      <c r="I335" s="137" t="n"/>
      <c r="J335" s="117">
        <f>IF(OR(ISNUMBER(F335),ISNUMBER(G335)),IF(ISBLANK(G335),"⚠️ Chưa bóc tách định mức",IF(H335&gt;=0,"✅ OK - Cho phép đặt hàng","❌ CHẶN ĐẶT HÀNG - CẦN BẢO VỆ KL")),"")</f>
        <v/>
      </c>
      <c r="K335" s="138">
        <f>IF(OR(ISNUMBER(F335),ISNUMBER(G335)),IF(ISBLANK(G335),"Kỹ sư/Thầu phụ cần bóc tách KL bản vẽ",IF(H335&gt;=0,"Được đặt hàng tối đa "&amp;G335&amp;" "&amp;E335,"Vượt dự toán "&amp;ABS(H335)&amp;" "&amp;E335&amp;" (QS giải trình &amp; duyệt sửa BOQ)")),"")</f>
        <v/>
      </c>
    </row>
    <row r="336" ht="13.8" customHeight="1" s="75">
      <c r="A336" s="80" t="n"/>
      <c r="B336" s="24" t="n"/>
      <c r="C336" s="101" t="n"/>
      <c r="D336" s="24" t="n"/>
      <c r="E336" s="24" t="n"/>
      <c r="F336" s="85" t="n"/>
      <c r="G336" s="85" t="n"/>
      <c r="H336" s="44" t="n"/>
      <c r="I336" s="137" t="n"/>
    </row>
    <row r="337" ht="15.6" customHeight="1" s="75">
      <c r="A337" s="58" t="inlineStr">
        <is>
          <t>DHKK-B-II.3</t>
        </is>
      </c>
      <c r="B337" s="37" t="n">
        <v>3</v>
      </c>
      <c r="C337" s="98" t="inlineStr">
        <is>
          <t>Ống gió</t>
        </is>
      </c>
      <c r="D337" s="24" t="n"/>
      <c r="E337" s="24" t="n"/>
      <c r="F337" s="85" t="n"/>
      <c r="G337" s="85" t="n"/>
      <c r="H337" s="44" t="n"/>
      <c r="I337" s="137" t="n"/>
    </row>
    <row r="338" ht="15.6" customHeight="1" s="75">
      <c r="A338" s="58" t="inlineStr">
        <is>
          <t>DHKK-B-II.3.1</t>
        </is>
      </c>
      <c r="B338" s="24" t="n"/>
      <c r="C338" s="99" t="inlineStr">
        <is>
          <t>Ống gió tole mạ kẽm dày 0.75mm</t>
        </is>
      </c>
      <c r="D338" s="61" t="inlineStr">
        <is>
          <t>m2</t>
        </is>
      </c>
      <c r="E338" s="61" t="inlineStr">
        <is>
          <t>m2</t>
        </is>
      </c>
      <c r="F338" s="88" t="n">
        <v>36</v>
      </c>
      <c r="G338" s="85" t="n"/>
      <c r="H338" s="42">
        <f>IF(OR(ISNUMBER(F338),ISNUMBER(G338)),N(F338)-N(G338),"")</f>
        <v/>
      </c>
      <c r="I338" s="137" t="n"/>
      <c r="J338" s="117">
        <f>IF(OR(ISNUMBER(F338),ISNUMBER(G338)),IF(ISBLANK(G338),"⚠️ Chưa bóc tách định mức",IF(H338&gt;=0,"✅ OK - Cho phép đặt hàng","❌ CHẶN ĐẶT HÀNG - CẦN BẢO VỆ KL")),"")</f>
        <v/>
      </c>
      <c r="K338" s="138">
        <f>IF(OR(ISNUMBER(F338),ISNUMBER(G338)),IF(ISBLANK(G338),"Kỹ sư/Thầu phụ cần bóc tách KL bản vẽ",IF(H338&gt;=0,"Được đặt hàng tối đa "&amp;G338&amp;" "&amp;E338,"Vượt dự toán "&amp;ABS(H338)&amp;" "&amp;E338&amp;" (QS giải trình &amp; duyệt sửa BOQ)")),"")</f>
        <v/>
      </c>
    </row>
    <row r="339" ht="15.6" customHeight="1" s="75">
      <c r="A339" s="58" t="inlineStr">
        <is>
          <t>DHKK-B-II.3.2</t>
        </is>
      </c>
      <c r="B339" s="24" t="n"/>
      <c r="C339" s="99" t="inlineStr">
        <is>
          <t>Ống gió tole mạ kẽm dày 0.75mm, chống cháy EI30</t>
        </is>
      </c>
      <c r="D339" s="52" t="inlineStr">
        <is>
          <t>m2</t>
        </is>
      </c>
      <c r="E339" s="61" t="inlineStr">
        <is>
          <t>m2</t>
        </is>
      </c>
      <c r="F339" s="88" t="n">
        <v>0</v>
      </c>
      <c r="G339" s="85" t="n"/>
      <c r="H339" s="44">
        <f>IF(OR(ISNUMBER(F339),ISNUMBER(G339)),N(F339)-N(G339),"")</f>
        <v/>
      </c>
      <c r="I339" s="137" t="n"/>
      <c r="J339" s="117">
        <f>IF(OR(ISNUMBER(F339),ISNUMBER(G339)),IF(ISBLANK(G339),"⚠️ Chưa bóc tách định mức",IF(H339&gt;=0,"✅ OK - Cho phép đặt hàng","❌ CHẶN ĐẶT HÀNG - CẦN BẢO VỆ KL")),"")</f>
        <v/>
      </c>
      <c r="K339" s="138">
        <f>IF(OR(ISNUMBER(F339),ISNUMBER(G339)),IF(ISBLANK(G339),"Kỹ sư/Thầu phụ cần bóc tách KL bản vẽ",IF(H339&gt;=0,"Được đặt hàng tối đa "&amp;G339&amp;" "&amp;E339,"Vượt dự toán "&amp;ABS(H339)&amp;" "&amp;E339&amp;" (QS giải trình &amp; duyệt sửa BOQ)")),"")</f>
        <v/>
      </c>
    </row>
    <row r="340" ht="28.5" customHeight="1" s="75">
      <c r="A340" s="58" t="inlineStr">
        <is>
          <t>DHKK-B-II.3.3</t>
        </is>
      </c>
      <c r="B340" s="24" t="n"/>
      <c r="C340" s="99" t="inlineStr">
        <is>
          <t>Ống gió tole mạ kẽm dày 0.75mm, chống cháy EI120</t>
        </is>
      </c>
      <c r="D340" s="52" t="inlineStr">
        <is>
          <t>m2</t>
        </is>
      </c>
      <c r="E340" s="61" t="inlineStr">
        <is>
          <t>m2</t>
        </is>
      </c>
      <c r="F340" s="88" t="n">
        <v>64</v>
      </c>
      <c r="G340" s="85" t="n"/>
      <c r="H340" s="42">
        <f>IF(OR(ISNUMBER(F340),ISNUMBER(G340)),N(F340)-N(G340),"")</f>
        <v/>
      </c>
      <c r="I340" s="137" t="n"/>
      <c r="J340" s="117">
        <f>IF(OR(ISNUMBER(F340),ISNUMBER(G340)),IF(ISBLANK(G340),"⚠️ Chưa bóc tách định mức",IF(H340&gt;=0,"✅ OK - Cho phép đặt hàng","❌ CHẶN ĐẶT HÀNG - CẦN BẢO VỆ KL")),"")</f>
        <v/>
      </c>
      <c r="K340" s="138">
        <f>IF(OR(ISNUMBER(F340),ISNUMBER(G340)),IF(ISBLANK(G340),"Kỹ sư/Thầu phụ cần bóc tách KL bản vẽ",IF(H340&gt;=0,"Được đặt hàng tối đa "&amp;G340&amp;" "&amp;E340,"Vượt dự toán "&amp;ABS(H340)&amp;" "&amp;E340&amp;" (QS giải trình &amp; duyệt sửa BOQ)")),"")</f>
        <v/>
      </c>
    </row>
    <row r="341" ht="13.8" customHeight="1" s="75">
      <c r="A341" s="80" t="n"/>
      <c r="B341" s="24" t="n"/>
      <c r="C341" s="101" t="n"/>
      <c r="D341" s="51" t="n"/>
      <c r="E341" s="24" t="n"/>
      <c r="F341" s="85" t="n"/>
      <c r="G341" s="85" t="n"/>
      <c r="H341" s="44" t="n"/>
      <c r="I341" s="137" t="n"/>
    </row>
    <row r="342" ht="15.6" customHeight="1" s="75">
      <c r="A342" s="58" t="inlineStr">
        <is>
          <t>DHKK-B-II.4.0</t>
        </is>
      </c>
      <c r="B342" s="37" t="n">
        <v>4</v>
      </c>
      <c r="C342" s="98" t="inlineStr">
        <is>
          <t>Phần điều khiển</t>
        </is>
      </c>
      <c r="D342" s="51" t="n"/>
      <c r="E342" s="24" t="n"/>
      <c r="F342" s="85" t="n"/>
      <c r="G342" s="85" t="n"/>
      <c r="H342" s="44" t="n"/>
      <c r="I342" s="137" t="n"/>
    </row>
    <row r="343" ht="15.6" customHeight="1" s="75">
      <c r="A343" s="58" t="inlineStr">
        <is>
          <t>DHKK-B-II.4.1</t>
        </is>
      </c>
      <c r="B343" s="24" t="n"/>
      <c r="C343" s="99" t="inlineStr">
        <is>
          <t>Cảm biến khói</t>
        </is>
      </c>
      <c r="D343" s="52" t="inlineStr">
        <is>
          <t>Bộ</t>
        </is>
      </c>
      <c r="E343" s="61" t="inlineStr">
        <is>
          <t>Bộ</t>
        </is>
      </c>
      <c r="F343" s="88" t="n">
        <v>4</v>
      </c>
      <c r="G343" s="85" t="n"/>
      <c r="H343" s="42">
        <f>IF(OR(ISNUMBER(F343),ISNUMBER(G343)),N(F343)-N(G343),"")</f>
        <v/>
      </c>
      <c r="I343" s="137" t="n"/>
      <c r="J343" s="117">
        <f>IF(OR(ISNUMBER(F343),ISNUMBER(G343)),IF(ISBLANK(G343),"⚠️ Chưa bóc tách định mức",IF(H343&gt;=0,"✅ OK - Cho phép đặt hàng","❌ CHẶN ĐẶT HÀNG - CẦN BẢO VỆ KL")),"")</f>
        <v/>
      </c>
      <c r="K343" s="138">
        <f>IF(OR(ISNUMBER(F343),ISNUMBER(G343)),IF(ISBLANK(G343),"Kỹ sư/Thầu phụ cần bóc tách KL bản vẽ",IF(H343&gt;=0,"Được đặt hàng tối đa "&amp;G343&amp;" "&amp;E343,"Vượt dự toán "&amp;ABS(H343)&amp;" "&amp;E343&amp;" (QS giải trình &amp; duyệt sửa BOQ)")),"")</f>
        <v/>
      </c>
    </row>
    <row r="344" ht="15.6" customHeight="1" s="75">
      <c r="A344" s="58" t="inlineStr">
        <is>
          <t>DHKK-B-II.4.2</t>
        </is>
      </c>
      <c r="B344" s="24" t="n"/>
      <c r="C344" s="99" t="inlineStr">
        <is>
          <t>3x1Cx2.5 mm2 CV-FR</t>
        </is>
      </c>
      <c r="D344" s="52" t="inlineStr">
        <is>
          <t>m</t>
        </is>
      </c>
      <c r="E344" s="61" t="inlineStr">
        <is>
          <t>m</t>
        </is>
      </c>
      <c r="F344" s="88" t="n">
        <v>80</v>
      </c>
      <c r="G344" s="85" t="n"/>
      <c r="H344" s="42">
        <f>IF(OR(ISNUMBER(F344),ISNUMBER(G344)),N(F344)-N(G344),"")</f>
        <v/>
      </c>
      <c r="I344" s="137" t="n"/>
      <c r="J344" s="117">
        <f>IF(OR(ISNUMBER(F344),ISNUMBER(G344)),IF(ISBLANK(G344),"⚠️ Chưa bóc tách định mức",IF(H344&gt;=0,"✅ OK - Cho phép đặt hàng","❌ CHẶN ĐẶT HÀNG - CẦN BẢO VỆ KL")),"")</f>
        <v/>
      </c>
      <c r="K344" s="138">
        <f>IF(OR(ISNUMBER(F344),ISNUMBER(G344)),IF(ISBLANK(G344),"Kỹ sư/Thầu phụ cần bóc tách KL bản vẽ",IF(H344&gt;=0,"Được đặt hàng tối đa "&amp;G344&amp;" "&amp;E344,"Vượt dự toán "&amp;ABS(H344)&amp;" "&amp;E344&amp;" (QS giải trình &amp; duyệt sửa BOQ)")),"")</f>
        <v/>
      </c>
    </row>
    <row r="345" ht="15.6" customHeight="1" s="75">
      <c r="A345" s="58" t="inlineStr">
        <is>
          <t>DHKK-B-II.4.3</t>
        </is>
      </c>
      <c r="B345" s="24" t="n"/>
      <c r="C345" s="99" t="inlineStr">
        <is>
          <t>4C-1.5mm² Cu/PVC/FR</t>
        </is>
      </c>
      <c r="D345" s="52" t="inlineStr">
        <is>
          <t>m</t>
        </is>
      </c>
      <c r="E345" s="61" t="inlineStr">
        <is>
          <t>m</t>
        </is>
      </c>
      <c r="F345" s="88" t="n">
        <v>396</v>
      </c>
      <c r="G345" s="85" t="n"/>
      <c r="H345" s="42">
        <f>IF(OR(ISNUMBER(F345),ISNUMBER(G345)),N(F345)-N(G345),"")</f>
        <v/>
      </c>
      <c r="I345" s="137" t="n"/>
      <c r="J345" s="117">
        <f>IF(OR(ISNUMBER(F345),ISNUMBER(G345)),IF(ISBLANK(G345),"⚠️ Chưa bóc tách định mức",IF(H345&gt;=0,"✅ OK - Cho phép đặt hàng","❌ CHẶN ĐẶT HÀNG - CẦN BẢO VỆ KL")),"")</f>
        <v/>
      </c>
      <c r="K345" s="138">
        <f>IF(OR(ISNUMBER(F345),ISNUMBER(G345)),IF(ISBLANK(G345),"Kỹ sư/Thầu phụ cần bóc tách KL bản vẽ",IF(H345&gt;=0,"Được đặt hàng tối đa "&amp;G345&amp;" "&amp;E345,"Vượt dự toán "&amp;ABS(H345)&amp;" "&amp;E345&amp;" (QS giải trình &amp; duyệt sửa BOQ)")),"")</f>
        <v/>
      </c>
    </row>
    <row r="346" ht="15.6" customHeight="1" s="75">
      <c r="A346" s="58" t="inlineStr">
        <is>
          <t>DHKK-B-II.4.4</t>
        </is>
      </c>
      <c r="B346" s="24" t="n"/>
      <c r="C346" s="99" t="inlineStr">
        <is>
          <t>Tủ điều khiển DDC</t>
        </is>
      </c>
      <c r="D346" s="52" t="inlineStr">
        <is>
          <t>Bộ</t>
        </is>
      </c>
      <c r="E346" s="61" t="inlineStr">
        <is>
          <t>Bộ</t>
        </is>
      </c>
      <c r="F346" s="88" t="n">
        <v>1</v>
      </c>
      <c r="G346" s="85" t="n"/>
      <c r="H346" s="42">
        <f>IF(OR(ISNUMBER(F346),ISNUMBER(G346)),N(F346)-N(G346),"")</f>
        <v/>
      </c>
      <c r="I346" s="137" t="n"/>
      <c r="J346" s="117">
        <f>IF(OR(ISNUMBER(F346),ISNUMBER(G346)),IF(ISBLANK(G346),"⚠️ Chưa bóc tách định mức",IF(H346&gt;=0,"✅ OK - Cho phép đặt hàng","❌ CHẶN ĐẶT HÀNG - CẦN BẢO VỆ KL")),"")</f>
        <v/>
      </c>
      <c r="K346" s="138">
        <f>IF(OR(ISNUMBER(F346),ISNUMBER(G346)),IF(ISBLANK(G346),"Kỹ sư/Thầu phụ cần bóc tách KL bản vẽ",IF(H346&gt;=0,"Được đặt hàng tối đa "&amp;G346&amp;" "&amp;E346,"Vượt dự toán "&amp;ABS(H346)&amp;" "&amp;E346&amp;" (QS giải trình &amp; duyệt sửa BOQ)")),"")</f>
        <v/>
      </c>
    </row>
    <row r="347" ht="13.8" customHeight="1" s="75">
      <c r="A347" s="80" t="n"/>
      <c r="B347" s="24" t="n"/>
      <c r="C347" s="101" t="n"/>
      <c r="D347" s="51" t="n"/>
      <c r="E347" s="24" t="n"/>
      <c r="F347" s="85" t="n"/>
      <c r="G347" s="85" t="n"/>
      <c r="H347" s="44" t="n"/>
      <c r="I347" s="137" t="n"/>
    </row>
    <row r="348" ht="15.6" customHeight="1" s="75">
      <c r="A348" s="58" t="inlineStr">
        <is>
          <t>DHKK-B-III1.1</t>
        </is>
      </c>
      <c r="B348" s="33" t="inlineStr">
        <is>
          <t>III.1</t>
        </is>
      </c>
      <c r="C348" s="97" t="inlineStr">
        <is>
          <t>HỆ THỐNG HÚT KHÍ THẢI, CẤP GIÓ TƯƠI</t>
        </is>
      </c>
      <c r="D348" s="53" t="n"/>
      <c r="E348" s="34" t="n"/>
      <c r="F348" s="87" t="n"/>
      <c r="G348" s="87" t="n"/>
      <c r="H348" s="35" t="n"/>
      <c r="I348" s="35" t="n"/>
    </row>
    <row r="349" ht="15.6" customHeight="1" s="75">
      <c r="A349" s="58" t="inlineStr">
        <is>
          <t>DHKK-B-III1.1.0</t>
        </is>
      </c>
      <c r="B349" s="37" t="n">
        <v>1</v>
      </c>
      <c r="C349" s="98" t="inlineStr">
        <is>
          <t>Quạt thông gió</t>
        </is>
      </c>
      <c r="D349" s="51" t="n"/>
      <c r="E349" s="24" t="n"/>
      <c r="F349" s="85" t="n"/>
      <c r="G349" s="85" t="n"/>
      <c r="H349" s="44" t="n"/>
      <c r="I349" s="137" t="n"/>
    </row>
    <row r="350" ht="56.1" customHeight="1" s="75">
      <c r="A350" s="58" t="inlineStr">
        <is>
          <t>DHKK-B-III1.1.1</t>
        </is>
      </c>
      <c r="B350" s="24" t="n"/>
      <c r="C350" s="99" t="inlineStr">
        <is>
          <t>Quạt hút khí kiểu hướng trục nối ống gió KEAF-1F-01
 + Lưu lượng: 2500 l/s
 + Áp suất : 500 Pa</t>
        </is>
      </c>
      <c r="D350" s="52" t="inlineStr">
        <is>
          <t>Bộ</t>
        </is>
      </c>
      <c r="E350" s="61" t="inlineStr">
        <is>
          <t>Bộ</t>
        </is>
      </c>
      <c r="F350" s="88" t="n">
        <v>0</v>
      </c>
      <c r="G350" s="85" t="n"/>
      <c r="H350" s="44">
        <f>IF(OR(ISNUMBER(F350),ISNUMBER(G350)),N(F350)-N(G350),"")</f>
        <v/>
      </c>
      <c r="I350" s="142" t="inlineStr">
        <is>
          <t>Không bao gồm quạt thông gió cho khu nhà trẻ</t>
        </is>
      </c>
      <c r="J350" s="117">
        <f>IF(OR(ISNUMBER(F350),ISNUMBER(G350)),IF(ISBLANK(G350),"⚠️ Chưa bóc tách định mức",IF(H350&gt;=0,"✅ OK - Cho phép đặt hàng","❌ CHẶN ĐẶT HÀNG - CẦN BẢO VỆ KL")),"")</f>
        <v/>
      </c>
      <c r="K350" s="138">
        <f>IF(OR(ISNUMBER(F350),ISNUMBER(G350)),IF(ISBLANK(G350),"Kỹ sư/Thầu phụ cần bóc tách KL bản vẽ",IF(H350&gt;=0,"Được đặt hàng tối đa "&amp;G350&amp;" "&amp;E350,"Vượt dự toán "&amp;ABS(H350)&amp;" "&amp;E350&amp;" (QS giải trình &amp; duyệt sửa BOQ)")),"")</f>
        <v/>
      </c>
    </row>
    <row r="351" ht="56.1" customHeight="1" s="75">
      <c r="A351" s="58" t="inlineStr">
        <is>
          <t>DHKK-B-III1.1.2</t>
        </is>
      </c>
      <c r="B351" s="24" t="n"/>
      <c r="C351" s="99" t="inlineStr">
        <is>
          <t>Quạt hút khí kiểu ly tâm - inline nối ống gió EAF-1F-01
 + Lưu lượng: 550 l/s
 + Áp suất : 200 Pa</t>
        </is>
      </c>
      <c r="D351" s="52" t="inlineStr">
        <is>
          <t>Bộ</t>
        </is>
      </c>
      <c r="E351" s="61" t="inlineStr">
        <is>
          <t>Bộ</t>
        </is>
      </c>
      <c r="F351" s="88" t="n">
        <v>1</v>
      </c>
      <c r="G351" s="85" t="n"/>
      <c r="H351" s="42">
        <f>IF(OR(ISNUMBER(F351),ISNUMBER(G351)),N(F351)-N(G351),"")</f>
        <v/>
      </c>
      <c r="I351" s="137" t="n"/>
      <c r="J351" s="117">
        <f>IF(OR(ISNUMBER(F351),ISNUMBER(G351)),IF(ISBLANK(G351),"⚠️ Chưa bóc tách định mức",IF(H351&gt;=0,"✅ OK - Cho phép đặt hàng","❌ CHẶN ĐẶT HÀNG - CẦN BẢO VỆ KL")),"")</f>
        <v/>
      </c>
      <c r="K351" s="138">
        <f>IF(OR(ISNUMBER(F351),ISNUMBER(G351)),IF(ISBLANK(G351),"Kỹ sư/Thầu phụ cần bóc tách KL bản vẽ",IF(H351&gt;=0,"Được đặt hàng tối đa "&amp;G351&amp;" "&amp;E351,"Vượt dự toán "&amp;ABS(H351)&amp;" "&amp;E351&amp;" (QS giải trình &amp; duyệt sửa BOQ)")),"")</f>
        <v/>
      </c>
    </row>
    <row r="352" ht="56.1" customHeight="1" s="75">
      <c r="A352" s="58" t="inlineStr">
        <is>
          <t>DHKK-B-III1.1.3</t>
        </is>
      </c>
      <c r="B352" s="24" t="n"/>
      <c r="C352" s="99" t="inlineStr">
        <is>
          <t>Quạt hút khí kiểu ly tâm - inline nối ống gió EAF-1F-01
 + Lưu lượng: 200 l/s
 + Áp suất : 150 Pa</t>
        </is>
      </c>
      <c r="D352" s="52" t="inlineStr">
        <is>
          <t>Bộ</t>
        </is>
      </c>
      <c r="E352" s="61" t="inlineStr">
        <is>
          <t>Bộ</t>
        </is>
      </c>
      <c r="F352" s="88" t="n">
        <v>0</v>
      </c>
      <c r="G352" s="85" t="n"/>
      <c r="H352" s="44">
        <f>IF(OR(ISNUMBER(F352),ISNUMBER(G352)),N(F352)-N(G352),"")</f>
        <v/>
      </c>
      <c r="I352" s="137" t="n"/>
      <c r="J352" s="117">
        <f>IF(OR(ISNUMBER(F352),ISNUMBER(G352)),IF(ISBLANK(G352),"⚠️ Chưa bóc tách định mức",IF(H352&gt;=0,"✅ OK - Cho phép đặt hàng","❌ CHẶN ĐẶT HÀNG - CẦN BẢO VỆ KL")),"")</f>
        <v/>
      </c>
      <c r="K352" s="138">
        <f>IF(OR(ISNUMBER(F352),ISNUMBER(G352)),IF(ISBLANK(G352),"Kỹ sư/Thầu phụ cần bóc tách KL bản vẽ",IF(H352&gt;=0,"Được đặt hàng tối đa "&amp;G352&amp;" "&amp;E352,"Vượt dự toán "&amp;ABS(H352)&amp;" "&amp;E352&amp;" (QS giải trình &amp; duyệt sửa BOQ)")),"")</f>
        <v/>
      </c>
    </row>
    <row r="353" ht="56.1" customHeight="1" s="75">
      <c r="A353" s="58" t="inlineStr">
        <is>
          <t>DHKK-B-III1.1.4</t>
        </is>
      </c>
      <c r="B353" s="24" t="n"/>
      <c r="C353" s="99" t="inlineStr">
        <is>
          <t>Quạt hút khí kiểu ly tâm - inline nối ống gió EAF-1F-01
 + Lưu lượng: 250 l/s
 + Áp suất : 150 Pa</t>
        </is>
      </c>
      <c r="D353" s="52" t="inlineStr">
        <is>
          <t>Bộ</t>
        </is>
      </c>
      <c r="E353" s="61" t="inlineStr">
        <is>
          <t>Bộ</t>
        </is>
      </c>
      <c r="F353" s="88" t="n">
        <v>0</v>
      </c>
      <c r="G353" s="85" t="n"/>
      <c r="H353" s="44">
        <f>IF(OR(ISNUMBER(F353),ISNUMBER(G353)),N(F353)-N(G353),"")</f>
        <v/>
      </c>
      <c r="I353" s="137" t="n"/>
      <c r="J353" s="117">
        <f>IF(OR(ISNUMBER(F353),ISNUMBER(G353)),IF(ISBLANK(G353),"⚠️ Chưa bóc tách định mức",IF(H353&gt;=0,"✅ OK - Cho phép đặt hàng","❌ CHẶN ĐẶT HÀNG - CẦN BẢO VỆ KL")),"")</f>
        <v/>
      </c>
      <c r="K353" s="138">
        <f>IF(OR(ISNUMBER(F353),ISNUMBER(G353)),IF(ISBLANK(G353),"Kỹ sư/Thầu phụ cần bóc tách KL bản vẽ",IF(H353&gt;=0,"Được đặt hàng tối đa "&amp;G353&amp;" "&amp;E353,"Vượt dự toán "&amp;ABS(H353)&amp;" "&amp;E353&amp;" (QS giải trình &amp; duyệt sửa BOQ)")),"")</f>
        <v/>
      </c>
    </row>
    <row r="354" ht="42.3" customHeight="1" s="75">
      <c r="A354" s="58" t="inlineStr">
        <is>
          <t>DHKK-B-III1.1.5</t>
        </is>
      </c>
      <c r="B354" s="24" t="n"/>
      <c r="C354" s="99" t="inlineStr">
        <is>
          <t>Quạt hút khí kiểu hướng trục nối ống gió EAF-2F-01
 + Lưu lượng: 300 l/s
 + Áp suất : 250 Pa</t>
        </is>
      </c>
      <c r="D354" s="52" t="inlineStr">
        <is>
          <t>Bộ</t>
        </is>
      </c>
      <c r="E354" s="61" t="inlineStr">
        <is>
          <t>Bộ</t>
        </is>
      </c>
      <c r="F354" s="88" t="n">
        <v>0</v>
      </c>
      <c r="G354" s="85" t="n"/>
      <c r="H354" s="44">
        <f>IF(OR(ISNUMBER(F354),ISNUMBER(G354)),N(F354)-N(G354),"")</f>
        <v/>
      </c>
      <c r="I354" s="142" t="inlineStr">
        <is>
          <t>Không bao gồm quạt thông gió cho khu nhà trẻ</t>
        </is>
      </c>
      <c r="J354" s="117">
        <f>IF(OR(ISNUMBER(F354),ISNUMBER(G354)),IF(ISBLANK(G354),"⚠️ Chưa bóc tách định mức",IF(H354&gt;=0,"✅ OK - Cho phép đặt hàng","❌ CHẶN ĐẶT HÀNG - CẦN BẢO VỆ KL")),"")</f>
        <v/>
      </c>
      <c r="K354" s="138">
        <f>IF(OR(ISNUMBER(F354),ISNUMBER(G354)),IF(ISBLANK(G354),"Kỹ sư/Thầu phụ cần bóc tách KL bản vẽ",IF(H354&gt;=0,"Được đặt hàng tối đa "&amp;G354&amp;" "&amp;E354,"Vượt dự toán "&amp;ABS(H354)&amp;" "&amp;E354&amp;" (QS giải trình &amp; duyệt sửa BOQ)")),"")</f>
        <v/>
      </c>
    </row>
    <row r="355" ht="56.1" customHeight="1" s="75">
      <c r="A355" s="58" t="inlineStr">
        <is>
          <t>DHKK-B-III1.1.6</t>
        </is>
      </c>
      <c r="B355" s="24" t="n"/>
      <c r="C355" s="99" t="inlineStr">
        <is>
          <t>Quạt hút khí kiểu ly tâm - inline nối ống gió EAF-2F,3F-01
 + Lưu lượng: 200 l/s
 + Áp suất : 150 Pa</t>
        </is>
      </c>
      <c r="D355" s="52" t="inlineStr">
        <is>
          <t>Bộ</t>
        </is>
      </c>
      <c r="E355" s="61" t="inlineStr">
        <is>
          <t>Bộ</t>
        </is>
      </c>
      <c r="F355" s="88" t="n">
        <v>0</v>
      </c>
      <c r="G355" s="85" t="n"/>
      <c r="H355" s="44">
        <f>IF(OR(ISNUMBER(F355),ISNUMBER(G355)),N(F355)-N(G355),"")</f>
        <v/>
      </c>
      <c r="I355" s="137" t="n"/>
      <c r="J355" s="117">
        <f>IF(OR(ISNUMBER(F355),ISNUMBER(G355)),IF(ISBLANK(G355),"⚠️ Chưa bóc tách định mức",IF(H355&gt;=0,"✅ OK - Cho phép đặt hàng","❌ CHẶN ĐẶT HÀNG - CẦN BẢO VỆ KL")),"")</f>
        <v/>
      </c>
      <c r="K355" s="138">
        <f>IF(OR(ISNUMBER(F355),ISNUMBER(G355)),IF(ISBLANK(G355),"Kỹ sư/Thầu phụ cần bóc tách KL bản vẽ",IF(H355&gt;=0,"Được đặt hàng tối đa "&amp;G355&amp;" "&amp;E355,"Vượt dự toán "&amp;ABS(H355)&amp;" "&amp;E355&amp;" (QS giải trình &amp; duyệt sửa BOQ)")),"")</f>
        <v/>
      </c>
    </row>
    <row r="356" ht="56.1" customHeight="1" s="75">
      <c r="A356" s="58" t="inlineStr">
        <is>
          <t>DHKK-B-III1.1.7</t>
        </is>
      </c>
      <c r="B356" s="24" t="n"/>
      <c r="C356" s="99" t="inlineStr">
        <is>
          <t>Quạt cấp khí kiểu ly tâm - inline nối ống gió FAF-1F-01
 + Lưu lượng: 100 l/s
 + Áp suất : 100 Pa</t>
        </is>
      </c>
      <c r="D356" s="52" t="inlineStr">
        <is>
          <t>Bộ</t>
        </is>
      </c>
      <c r="E356" s="61" t="inlineStr">
        <is>
          <t>Bộ</t>
        </is>
      </c>
      <c r="F356" s="88" t="n">
        <v>0</v>
      </c>
      <c r="G356" s="85" t="n"/>
      <c r="H356" s="44">
        <f>IF(OR(ISNUMBER(F356),ISNUMBER(G356)),N(F356)-N(G356),"")</f>
        <v/>
      </c>
      <c r="I356" s="137" t="n"/>
      <c r="J356" s="117">
        <f>IF(OR(ISNUMBER(F356),ISNUMBER(G356)),IF(ISBLANK(G356),"⚠️ Chưa bóc tách định mức",IF(H356&gt;=0,"✅ OK - Cho phép đặt hàng","❌ CHẶN ĐẶT HÀNG - CẦN BẢO VỆ KL")),"")</f>
        <v/>
      </c>
      <c r="K356" s="138">
        <f>IF(OR(ISNUMBER(F356),ISNUMBER(G356)),IF(ISBLANK(G356),"Kỹ sư/Thầu phụ cần bóc tách KL bản vẽ",IF(H356&gt;=0,"Được đặt hàng tối đa "&amp;G356&amp;" "&amp;E356,"Vượt dự toán "&amp;ABS(H356)&amp;" "&amp;E356&amp;" (QS giải trình &amp; duyệt sửa BOQ)")),"")</f>
        <v/>
      </c>
    </row>
    <row r="357" ht="56.1" customHeight="1" s="75">
      <c r="A357" s="58" t="inlineStr">
        <is>
          <t>DHKK-B-III1.1.8</t>
        </is>
      </c>
      <c r="B357" s="24" t="n"/>
      <c r="C357" s="99" t="inlineStr">
        <is>
          <t>Quạt cấp khí kiểu ly tâm - inline nối ống gió FAF-1F-01
 + Lưu lượng: 150 l/s
 + Áp suất : 100 Pa</t>
        </is>
      </c>
      <c r="D357" s="52" t="inlineStr">
        <is>
          <t>Bộ</t>
        </is>
      </c>
      <c r="E357" s="61" t="inlineStr">
        <is>
          <t>Bộ</t>
        </is>
      </c>
      <c r="F357" s="88" t="n">
        <v>1</v>
      </c>
      <c r="G357" s="85" t="n"/>
      <c r="H357" s="42">
        <f>IF(OR(ISNUMBER(F357),ISNUMBER(G357)),N(F357)-N(G357),"")</f>
        <v/>
      </c>
      <c r="I357" s="137" t="n"/>
      <c r="J357" s="117">
        <f>IF(OR(ISNUMBER(F357),ISNUMBER(G357)),IF(ISBLANK(G357),"⚠️ Chưa bóc tách định mức",IF(H357&gt;=0,"✅ OK - Cho phép đặt hàng","❌ CHẶN ĐẶT HÀNG - CẦN BẢO VỆ KL")),"")</f>
        <v/>
      </c>
      <c r="K357" s="138">
        <f>IF(OR(ISNUMBER(F357),ISNUMBER(G357)),IF(ISBLANK(G357),"Kỹ sư/Thầu phụ cần bóc tách KL bản vẽ",IF(H357&gt;=0,"Được đặt hàng tối đa "&amp;G357&amp;" "&amp;E357,"Vượt dự toán "&amp;ABS(H357)&amp;" "&amp;E357&amp;" (QS giải trình &amp; duyệt sửa BOQ)")),"")</f>
        <v/>
      </c>
    </row>
    <row r="358" ht="56.1" customHeight="1" s="75">
      <c r="A358" s="58" t="inlineStr">
        <is>
          <t>DHKK-B-III1.1.9</t>
        </is>
      </c>
      <c r="B358" s="24" t="n"/>
      <c r="C358" s="99" t="inlineStr">
        <is>
          <t>Quạt cấp khí kiểu ly tâm - inline nối ống gió FAF-1F-01
 + Lưu lượng: 100 l/s
 + Áp suất : 100 Pa</t>
        </is>
      </c>
      <c r="D358" s="52" t="inlineStr">
        <is>
          <t>Bộ</t>
        </is>
      </c>
      <c r="E358" s="61" t="inlineStr">
        <is>
          <t>Bộ</t>
        </is>
      </c>
      <c r="F358" s="88" t="n">
        <v>0</v>
      </c>
      <c r="G358" s="85" t="n"/>
      <c r="H358" s="44">
        <f>IF(OR(ISNUMBER(F358),ISNUMBER(G358)),N(F358)-N(G358),"")</f>
        <v/>
      </c>
      <c r="I358" s="137" t="n"/>
      <c r="J358" s="117">
        <f>IF(OR(ISNUMBER(F358),ISNUMBER(G358)),IF(ISBLANK(G358),"⚠️ Chưa bóc tách định mức",IF(H358&gt;=0,"✅ OK - Cho phép đặt hàng","❌ CHẶN ĐẶT HÀNG - CẦN BẢO VỆ KL")),"")</f>
        <v/>
      </c>
      <c r="K358" s="138">
        <f>IF(OR(ISNUMBER(F358),ISNUMBER(G358)),IF(ISBLANK(G358),"Kỹ sư/Thầu phụ cần bóc tách KL bản vẽ",IF(H358&gt;=0,"Được đặt hàng tối đa "&amp;G358&amp;" "&amp;E358,"Vượt dự toán "&amp;ABS(H358)&amp;" "&amp;E358&amp;" (QS giải trình &amp; duyệt sửa BOQ)")),"")</f>
        <v/>
      </c>
    </row>
    <row r="359" ht="56.1" customHeight="1" s="75">
      <c r="A359" s="58" t="inlineStr">
        <is>
          <t>DHKK-B-III1.1.10</t>
        </is>
      </c>
      <c r="B359" s="24" t="n"/>
      <c r="C359" s="99" t="inlineStr">
        <is>
          <t>Quạt cấp khí kiểu ly tâm - inline nối ống gió FAF-1F-02
 + Lưu lượng: 50 l/s
 + Áp suất : 70 Pa</t>
        </is>
      </c>
      <c r="D359" s="52" t="inlineStr">
        <is>
          <t>Bộ</t>
        </is>
      </c>
      <c r="E359" s="61" t="inlineStr">
        <is>
          <t>Bộ</t>
        </is>
      </c>
      <c r="F359" s="88" t="n">
        <v>1</v>
      </c>
      <c r="G359" s="85" t="n"/>
      <c r="H359" s="42">
        <f>IF(OR(ISNUMBER(F359),ISNUMBER(G359)),N(F359)-N(G359),"")</f>
        <v/>
      </c>
      <c r="I359" s="137" t="n"/>
      <c r="J359" s="117">
        <f>IF(OR(ISNUMBER(F359),ISNUMBER(G359)),IF(ISBLANK(G359),"⚠️ Chưa bóc tách định mức",IF(H359&gt;=0,"✅ OK - Cho phép đặt hàng","❌ CHẶN ĐẶT HÀNG - CẦN BẢO VỆ KL")),"")</f>
        <v/>
      </c>
      <c r="K359" s="138">
        <f>IF(OR(ISNUMBER(F359),ISNUMBER(G359)),IF(ISBLANK(G359),"Kỹ sư/Thầu phụ cần bóc tách KL bản vẽ",IF(H359&gt;=0,"Được đặt hàng tối đa "&amp;G359&amp;" "&amp;E359,"Vượt dự toán "&amp;ABS(H359)&amp;" "&amp;E359&amp;" (QS giải trình &amp; duyệt sửa BOQ)")),"")</f>
        <v/>
      </c>
    </row>
    <row r="360" ht="56.1" customHeight="1" s="75">
      <c r="A360" s="58" t="inlineStr">
        <is>
          <t>DHKK-B-III1.1.11</t>
        </is>
      </c>
      <c r="B360" s="24" t="n"/>
      <c r="C360" s="99" t="inlineStr">
        <is>
          <t>Quạt cấp bù khí kiểu hướng trục nối ống gió FAF-A-1F-01
 + Lưu lượng: 1660 l/s
 + Áp suất : 250 Pa</t>
        </is>
      </c>
      <c r="D360" s="52" t="inlineStr">
        <is>
          <t>Bộ</t>
        </is>
      </c>
      <c r="E360" s="61" t="inlineStr">
        <is>
          <t>Bộ</t>
        </is>
      </c>
      <c r="F360" s="88" t="n">
        <v>1</v>
      </c>
      <c r="G360" s="85" t="n"/>
      <c r="H360" s="42">
        <f>IF(OR(ISNUMBER(F360),ISNUMBER(G360)),N(F360)-N(G360),"")</f>
        <v/>
      </c>
      <c r="I360" s="137" t="n"/>
      <c r="J360" s="117">
        <f>IF(OR(ISNUMBER(F360),ISNUMBER(G360)),IF(ISBLANK(G360),"⚠️ Chưa bóc tách định mức",IF(H360&gt;=0,"✅ OK - Cho phép đặt hàng","❌ CHẶN ĐẶT HÀNG - CẦN BẢO VỆ KL")),"")</f>
        <v/>
      </c>
      <c r="K360" s="138">
        <f>IF(OR(ISNUMBER(F360),ISNUMBER(G360)),IF(ISBLANK(G360),"Kỹ sư/Thầu phụ cần bóc tách KL bản vẽ",IF(H360&gt;=0,"Được đặt hàng tối đa "&amp;G360&amp;" "&amp;E360,"Vượt dự toán "&amp;ABS(H360)&amp;" "&amp;E360&amp;" (QS giải trình &amp; duyệt sửa BOQ)")),"")</f>
        <v/>
      </c>
    </row>
    <row r="361" ht="56.1" customHeight="1" s="75">
      <c r="A361" s="58" t="inlineStr">
        <is>
          <t>DHKK-B-III1.1.12</t>
        </is>
      </c>
      <c r="B361" s="24" t="n"/>
      <c r="C361" s="99" t="inlineStr">
        <is>
          <t>Quạt cấp bù khí kiểu hướng trục nối ống gió FAF-B-1F-01
 + Lưu lượng: 3320 l/s
 + Áp suất : 250 Pa</t>
        </is>
      </c>
      <c r="D361" s="52" t="inlineStr">
        <is>
          <t>Bộ</t>
        </is>
      </c>
      <c r="E361" s="61" t="inlineStr">
        <is>
          <t>Bộ</t>
        </is>
      </c>
      <c r="F361" s="88" t="n">
        <v>0</v>
      </c>
      <c r="G361" s="85" t="n"/>
      <c r="H361" s="44">
        <f>IF(OR(ISNUMBER(F361),ISNUMBER(G361)),N(F361)-N(G361),"")</f>
        <v/>
      </c>
      <c r="I361" s="137" t="n"/>
      <c r="J361" s="117">
        <f>IF(OR(ISNUMBER(F361),ISNUMBER(G361)),IF(ISBLANK(G361),"⚠️ Chưa bóc tách định mức",IF(H361&gt;=0,"✅ OK - Cho phép đặt hàng","❌ CHẶN ĐẶT HÀNG - CẦN BẢO VỆ KL")),"")</f>
        <v/>
      </c>
      <c r="K361" s="138">
        <f>IF(OR(ISNUMBER(F361),ISNUMBER(G361)),IF(ISBLANK(G361),"Kỹ sư/Thầu phụ cần bóc tách KL bản vẽ",IF(H361&gt;=0,"Được đặt hàng tối đa "&amp;G361&amp;" "&amp;E361,"Vượt dự toán "&amp;ABS(H361)&amp;" "&amp;E361&amp;" (QS giải trình &amp; duyệt sửa BOQ)")),"")</f>
        <v/>
      </c>
    </row>
    <row r="362" ht="56.1" customHeight="1" s="75">
      <c r="A362" s="58" t="inlineStr">
        <is>
          <t>DHKK-B-III1.1.13</t>
        </is>
      </c>
      <c r="B362" s="24" t="n"/>
      <c r="C362" s="99" t="inlineStr">
        <is>
          <t>Quạt cấp bù khí kiểu hướng trục nối ống gió FAF-A-1F-02
 + Lưu lượng: 3320 l/s
 + Áp suất : 250 Pa</t>
        </is>
      </c>
      <c r="D362" s="52" t="inlineStr">
        <is>
          <t>Bộ</t>
        </is>
      </c>
      <c r="E362" s="61" t="inlineStr">
        <is>
          <t>Bộ</t>
        </is>
      </c>
      <c r="F362" s="88" t="n">
        <v>1</v>
      </c>
      <c r="G362" s="85" t="n"/>
      <c r="H362" s="42">
        <f>IF(OR(ISNUMBER(F362),ISNUMBER(G362)),N(F362)-N(G362),"")</f>
        <v/>
      </c>
      <c r="I362" s="137" t="n"/>
      <c r="J362" s="117">
        <f>IF(OR(ISNUMBER(F362),ISNUMBER(G362)),IF(ISBLANK(G362),"⚠️ Chưa bóc tách định mức",IF(H362&gt;=0,"✅ OK - Cho phép đặt hàng","❌ CHẶN ĐẶT HÀNG - CẦN BẢO VỆ KL")),"")</f>
        <v/>
      </c>
      <c r="K362" s="138">
        <f>IF(OR(ISNUMBER(F362),ISNUMBER(G362)),IF(ISBLANK(G362),"Kỹ sư/Thầu phụ cần bóc tách KL bản vẽ",IF(H362&gt;=0,"Được đặt hàng tối đa "&amp;G362&amp;" "&amp;E362,"Vượt dự toán "&amp;ABS(H362)&amp;" "&amp;E362&amp;" (QS giải trình &amp; duyệt sửa BOQ)")),"")</f>
        <v/>
      </c>
    </row>
    <row r="363" ht="56.1" customHeight="1" s="75">
      <c r="A363" s="58" t="inlineStr">
        <is>
          <t>DHKK-B-III1.1.14</t>
        </is>
      </c>
      <c r="B363" s="24" t="n"/>
      <c r="C363" s="99" t="inlineStr">
        <is>
          <t>Quạt cấp khí kiểu hướng trục nối ống gió FAF-1F/C-01
 + Lưu lượng: 450 l/s
 + Áp suất : 250 Pa</t>
        </is>
      </c>
      <c r="D363" s="52" t="inlineStr">
        <is>
          <t>Bộ</t>
        </is>
      </c>
      <c r="E363" s="61" t="inlineStr">
        <is>
          <t>Bộ</t>
        </is>
      </c>
      <c r="F363" s="88" t="n">
        <v>0</v>
      </c>
      <c r="G363" s="85" t="n"/>
      <c r="H363" s="44">
        <f>IF(OR(ISNUMBER(F363),ISNUMBER(G363)),N(F363)-N(G363),"")</f>
        <v/>
      </c>
      <c r="I363" s="142" t="inlineStr">
        <is>
          <t>Không bao gồm quạt thông gió cho khu nhà trẻ</t>
        </is>
      </c>
      <c r="J363" s="117">
        <f>IF(OR(ISNUMBER(F363),ISNUMBER(G363)),IF(ISBLANK(G363),"⚠️ Chưa bóc tách định mức",IF(H363&gt;=0,"✅ OK - Cho phép đặt hàng","❌ CHẶN ĐẶT HÀNG - CẦN BẢO VỆ KL")),"")</f>
        <v/>
      </c>
      <c r="K363" s="138">
        <f>IF(OR(ISNUMBER(F363),ISNUMBER(G363)),IF(ISBLANK(G363),"Kỹ sư/Thầu phụ cần bóc tách KL bản vẽ",IF(H363&gt;=0,"Được đặt hàng tối đa "&amp;G363&amp;" "&amp;E363,"Vượt dự toán "&amp;ABS(H363)&amp;" "&amp;E363&amp;" (QS giải trình &amp; duyệt sửa BOQ)")),"")</f>
        <v/>
      </c>
    </row>
    <row r="364" ht="56.1" customHeight="1" s="75">
      <c r="A364" s="58" t="inlineStr">
        <is>
          <t>DHKK-B-III1.1.15</t>
        </is>
      </c>
      <c r="B364" s="24" t="n"/>
      <c r="C364" s="99" t="inlineStr">
        <is>
          <t>Quạt cấp khí kiểu hướng trục nối ống gió FAF-1F/C-02
 + Lưu lượng: 550 l/s
 + Áp suất : 250 Pa</t>
        </is>
      </c>
      <c r="D364" s="52" t="inlineStr">
        <is>
          <t>Bộ</t>
        </is>
      </c>
      <c r="E364" s="61" t="inlineStr">
        <is>
          <t>Bộ</t>
        </is>
      </c>
      <c r="F364" s="88" t="n">
        <v>0</v>
      </c>
      <c r="G364" s="85" t="n"/>
      <c r="H364" s="44">
        <f>IF(OR(ISNUMBER(F364),ISNUMBER(G364)),N(F364)-N(G364),"")</f>
        <v/>
      </c>
      <c r="I364" s="142" t="inlineStr">
        <is>
          <t>Không bao gồm quạt thông gió cho khu nhà trẻ</t>
        </is>
      </c>
      <c r="J364" s="117">
        <f>IF(OR(ISNUMBER(F364),ISNUMBER(G364)),IF(ISBLANK(G364),"⚠️ Chưa bóc tách định mức",IF(H364&gt;=0,"✅ OK - Cho phép đặt hàng","❌ CHẶN ĐẶT HÀNG - CẦN BẢO VỆ KL")),"")</f>
        <v/>
      </c>
      <c r="K364" s="138">
        <f>IF(OR(ISNUMBER(F364),ISNUMBER(G364)),IF(ISBLANK(G364),"Kỹ sư/Thầu phụ cần bóc tách KL bản vẽ",IF(H364&gt;=0,"Được đặt hàng tối đa "&amp;G364&amp;" "&amp;E364,"Vượt dự toán "&amp;ABS(H364)&amp;" "&amp;E364&amp;" (QS giải trình &amp; duyệt sửa BOQ)")),"")</f>
        <v/>
      </c>
    </row>
    <row r="365" ht="56.1" customHeight="1" s="75">
      <c r="A365" s="58" t="inlineStr">
        <is>
          <t>DHKK-B-III1.1.16</t>
        </is>
      </c>
      <c r="B365" s="24" t="n"/>
      <c r="C365" s="99" t="inlineStr">
        <is>
          <t>Quạt cấp khí kiểu ly tâm - inline nối ống gió FAF-2F-01
 + Lưu lượng: 100 l/s
 + Áp suất : 70 Pa</t>
        </is>
      </c>
      <c r="D365" s="52" t="inlineStr">
        <is>
          <t>Bộ</t>
        </is>
      </c>
      <c r="E365" s="61" t="inlineStr">
        <is>
          <t>Bộ</t>
        </is>
      </c>
      <c r="F365" s="88" t="n">
        <v>1</v>
      </c>
      <c r="G365" s="85" t="n"/>
      <c r="H365" s="42">
        <f>IF(OR(ISNUMBER(F365),ISNUMBER(G365)),N(F365)-N(G365),"")</f>
        <v/>
      </c>
      <c r="I365" s="137" t="n"/>
      <c r="J365" s="117">
        <f>IF(OR(ISNUMBER(F365),ISNUMBER(G365)),IF(ISBLANK(G365),"⚠️ Chưa bóc tách định mức",IF(H365&gt;=0,"✅ OK - Cho phép đặt hàng","❌ CHẶN ĐẶT HÀNG - CẦN BẢO VỆ KL")),"")</f>
        <v/>
      </c>
      <c r="K365" s="138">
        <f>IF(OR(ISNUMBER(F365),ISNUMBER(G365)),IF(ISBLANK(G365),"Kỹ sư/Thầu phụ cần bóc tách KL bản vẽ",IF(H365&gt;=0,"Được đặt hàng tối đa "&amp;G365&amp;" "&amp;E365,"Vượt dự toán "&amp;ABS(H365)&amp;" "&amp;E365&amp;" (QS giải trình &amp; duyệt sửa BOQ)")),"")</f>
        <v/>
      </c>
    </row>
    <row r="366" ht="56.1" customHeight="1" s="75">
      <c r="A366" s="58" t="inlineStr">
        <is>
          <t>DHKK-B-III1.1.17</t>
        </is>
      </c>
      <c r="B366" s="24" t="n"/>
      <c r="C366" s="99" t="inlineStr">
        <is>
          <t>Quạt cấp khí kiểu hướng trục nối ống gió FAF-2F/C-01
 + Lưu lượng: 850 l/s
 + Áp suất : 250 Pa</t>
        </is>
      </c>
      <c r="D366" s="52" t="inlineStr">
        <is>
          <t>Bộ</t>
        </is>
      </c>
      <c r="E366" s="61" t="inlineStr">
        <is>
          <t>Bộ</t>
        </is>
      </c>
      <c r="F366" s="88" t="n">
        <v>0</v>
      </c>
      <c r="G366" s="85" t="n"/>
      <c r="H366" s="44">
        <f>IF(OR(ISNUMBER(F366),ISNUMBER(G366)),N(F366)-N(G366),"")</f>
        <v/>
      </c>
      <c r="I366" s="142" t="inlineStr">
        <is>
          <t>Không bao gồm quạt thông gió cho khu nhà trẻ</t>
        </is>
      </c>
      <c r="J366" s="117">
        <f>IF(OR(ISNUMBER(F366),ISNUMBER(G366)),IF(ISBLANK(G366),"⚠️ Chưa bóc tách định mức",IF(H366&gt;=0,"✅ OK - Cho phép đặt hàng","❌ CHẶN ĐẶT HÀNG - CẦN BẢO VỆ KL")),"")</f>
        <v/>
      </c>
      <c r="K366" s="138">
        <f>IF(OR(ISNUMBER(F366),ISNUMBER(G366)),IF(ISBLANK(G366),"Kỹ sư/Thầu phụ cần bóc tách KL bản vẽ",IF(H366&gt;=0,"Được đặt hàng tối đa "&amp;G366&amp;" "&amp;E366,"Vượt dự toán "&amp;ABS(H366)&amp;" "&amp;E366&amp;" (QS giải trình &amp; duyệt sửa BOQ)")),"")</f>
        <v/>
      </c>
    </row>
    <row r="367" ht="56.1" customHeight="1" s="75">
      <c r="A367" s="58" t="inlineStr">
        <is>
          <t>DHKK-B-III1.1.18</t>
        </is>
      </c>
      <c r="B367" s="24" t="n"/>
      <c r="C367" s="99" t="inlineStr">
        <is>
          <t>Quạt cấp khí kiểu hướng trục nối ống gió FAF-2F/C-02
 + Lưu lượng: 700 l/s
 + Áp suất : 250 Pa</t>
        </is>
      </c>
      <c r="D367" s="52" t="inlineStr">
        <is>
          <t>Bộ</t>
        </is>
      </c>
      <c r="E367" s="61" t="inlineStr">
        <is>
          <t>Bộ</t>
        </is>
      </c>
      <c r="F367" s="88" t="n">
        <v>0</v>
      </c>
      <c r="G367" s="85" t="n"/>
      <c r="H367" s="44">
        <f>IF(OR(ISNUMBER(F367),ISNUMBER(G367)),N(F367)-N(G367),"")</f>
        <v/>
      </c>
      <c r="I367" s="142" t="inlineStr">
        <is>
          <t>Không bao gồm quạt thông gió cho khu nhà trẻ</t>
        </is>
      </c>
      <c r="J367" s="117">
        <f>IF(OR(ISNUMBER(F367),ISNUMBER(G367)),IF(ISBLANK(G367),"⚠️ Chưa bóc tách định mức",IF(H367&gt;=0,"✅ OK - Cho phép đặt hàng","❌ CHẶN ĐẶT HÀNG - CẦN BẢO VỆ KL")),"")</f>
        <v/>
      </c>
      <c r="K367" s="138">
        <f>IF(OR(ISNUMBER(F367),ISNUMBER(G367)),IF(ISBLANK(G367),"Kỹ sư/Thầu phụ cần bóc tách KL bản vẽ",IF(H367&gt;=0,"Được đặt hàng tối đa "&amp;G367&amp;" "&amp;E367,"Vượt dự toán "&amp;ABS(H367)&amp;" "&amp;E367&amp;" (QS giải trình &amp; duyệt sửa BOQ)")),"")</f>
        <v/>
      </c>
    </row>
    <row r="368" ht="42.3" customHeight="1" s="75">
      <c r="A368" s="58" t="inlineStr">
        <is>
          <t>DHKK-B-III1.1.19</t>
        </is>
      </c>
      <c r="B368" s="24" t="n"/>
      <c r="C368" s="99" t="inlineStr">
        <is>
          <t>Quạt hút khí kiểu âm trần nối ống gió EAF
 + Lưu lượng: 50 l/s
 + Áp suất: 70 Pa</t>
        </is>
      </c>
      <c r="D368" s="52" t="inlineStr">
        <is>
          <t>Bộ</t>
        </is>
      </c>
      <c r="E368" s="61" t="inlineStr">
        <is>
          <t>Bộ</t>
        </is>
      </c>
      <c r="F368" s="88" t="n">
        <v>0</v>
      </c>
      <c r="G368" s="85" t="n"/>
      <c r="H368" s="44">
        <f>IF(OR(ISNUMBER(F368),ISNUMBER(G368)),N(F368)-N(G368),"")</f>
        <v/>
      </c>
      <c r="I368" s="142" t="inlineStr">
        <is>
          <t>Không bao gồm quạt thông gió cho khu nhà trẻ</t>
        </is>
      </c>
      <c r="J368" s="117">
        <f>IF(OR(ISNUMBER(F368),ISNUMBER(G368)),IF(ISBLANK(G368),"⚠️ Chưa bóc tách định mức",IF(H368&gt;=0,"✅ OK - Cho phép đặt hàng","❌ CHẶN ĐẶT HÀNG - CẦN BẢO VỆ KL")),"")</f>
        <v/>
      </c>
      <c r="K368" s="138">
        <f>IF(OR(ISNUMBER(F368),ISNUMBER(G368)),IF(ISBLANK(G368),"Kỹ sư/Thầu phụ cần bóc tách KL bản vẽ",IF(H368&gt;=0,"Được đặt hàng tối đa "&amp;G368&amp;" "&amp;E368,"Vượt dự toán "&amp;ABS(H368)&amp;" "&amp;E368&amp;" (QS giải trình &amp; duyệt sửa BOQ)")),"")</f>
        <v/>
      </c>
    </row>
    <row r="369" ht="15.6" customHeight="1" s="75">
      <c r="A369" s="58" t="inlineStr">
        <is>
          <t>DHKK-B-III1.1.20</t>
        </is>
      </c>
      <c r="B369" s="24" t="n"/>
      <c r="C369" s="100" t="inlineStr">
        <is>
          <t>Nối mềm cho quạt</t>
        </is>
      </c>
      <c r="D369" s="52" t="inlineStr">
        <is>
          <t>Bộ</t>
        </is>
      </c>
      <c r="E369" s="61" t="inlineStr">
        <is>
          <t>Bộ</t>
        </is>
      </c>
      <c r="F369" s="88" t="n">
        <v>6</v>
      </c>
      <c r="G369" s="85" t="n"/>
      <c r="H369" s="42">
        <f>IF(OR(ISNUMBER(F369),ISNUMBER(G369)),N(F369)-N(G369),"")</f>
        <v/>
      </c>
      <c r="I369" s="142" t="inlineStr">
        <is>
          <t>1 bộ gồm 2 cái</t>
        </is>
      </c>
      <c r="J369" s="117">
        <f>IF(OR(ISNUMBER(F369),ISNUMBER(G369)),IF(ISBLANK(G369),"⚠️ Chưa bóc tách định mức",IF(H369&gt;=0,"✅ OK - Cho phép đặt hàng","❌ CHẶN ĐẶT HÀNG - CẦN BẢO VỆ KL")),"")</f>
        <v/>
      </c>
      <c r="K369" s="138">
        <f>IF(OR(ISNUMBER(F369),ISNUMBER(G369)),IF(ISBLANK(G369),"Kỹ sư/Thầu phụ cần bóc tách KL bản vẽ",IF(H369&gt;=0,"Được đặt hàng tối đa "&amp;G369&amp;" "&amp;E369,"Vượt dự toán "&amp;ABS(H369)&amp;" "&amp;E369&amp;" (QS giải trình &amp; duyệt sửa BOQ)")),"")</f>
        <v/>
      </c>
    </row>
    <row r="370" ht="13.8" customHeight="1" s="75">
      <c r="A370" s="80" t="n"/>
      <c r="B370" s="24" t="n"/>
      <c r="C370" s="101" t="n"/>
      <c r="D370" s="51" t="n"/>
      <c r="E370" s="24" t="n"/>
      <c r="F370" s="85" t="n"/>
      <c r="G370" s="85" t="n"/>
      <c r="H370" s="44" t="n"/>
      <c r="I370" s="137" t="n"/>
    </row>
    <row r="371" ht="15.6" customHeight="1" s="75">
      <c r="A371" s="58" t="inlineStr">
        <is>
          <t>DHKK-B-III1.2.0</t>
        </is>
      </c>
      <c r="B371" s="37" t="n">
        <v>2</v>
      </c>
      <c r="C371" s="98" t="inlineStr">
        <is>
          <t>Miệng gió, van gió</t>
        </is>
      </c>
      <c r="D371" s="51" t="n"/>
      <c r="E371" s="24" t="n"/>
      <c r="F371" s="85" t="n"/>
      <c r="G371" s="85" t="n"/>
      <c r="H371" s="44" t="n"/>
      <c r="I371" s="137" t="n"/>
    </row>
    <row r="372" ht="15.6" customHeight="1" s="75">
      <c r="A372" s="58" t="inlineStr">
        <is>
          <t>DHKK-B-III1.2.1</t>
        </is>
      </c>
      <c r="B372" s="24" t="n"/>
      <c r="C372" s="99" t="inlineStr">
        <is>
          <t>FAL 200x150+I.S</t>
        </is>
      </c>
      <c r="D372" s="52" t="inlineStr">
        <is>
          <t>Cái</t>
        </is>
      </c>
      <c r="E372" s="61" t="inlineStr">
        <is>
          <t>Cái</t>
        </is>
      </c>
      <c r="F372" s="88" t="n">
        <v>0</v>
      </c>
      <c r="G372" s="85" t="n"/>
      <c r="H372" s="44">
        <f>IF(OR(ISNUMBER(F372),ISNUMBER(G372)),N(F372)-N(G372),"")</f>
        <v/>
      </c>
      <c r="I372" s="142" t="inlineStr">
        <is>
          <t>Không bao gồm louver cho khu nhà trẻ</t>
        </is>
      </c>
      <c r="J372" s="117">
        <f>IF(OR(ISNUMBER(F372),ISNUMBER(G372)),IF(ISBLANK(G372),"⚠️ Chưa bóc tách định mức",IF(H372&gt;=0,"✅ OK - Cho phép đặt hàng","❌ CHẶN ĐẶT HÀNG - CẦN BẢO VỆ KL")),"")</f>
        <v/>
      </c>
      <c r="K372" s="138">
        <f>IF(OR(ISNUMBER(F372),ISNUMBER(G372)),IF(ISBLANK(G372),"Kỹ sư/Thầu phụ cần bóc tách KL bản vẽ",IF(H372&gt;=0,"Được đặt hàng tối đa "&amp;G372&amp;" "&amp;E372,"Vượt dự toán "&amp;ABS(H372)&amp;" "&amp;E372&amp;" (QS giải trình &amp; duyệt sửa BOQ)")),"")</f>
        <v/>
      </c>
    </row>
    <row r="373" ht="15.6" customHeight="1" s="75">
      <c r="A373" s="58" t="inlineStr">
        <is>
          <t>DHKK-B-III1.2.2</t>
        </is>
      </c>
      <c r="B373" s="24" t="n"/>
      <c r="C373" s="99" t="inlineStr">
        <is>
          <t>FAL 1500x500+I.S</t>
        </is>
      </c>
      <c r="D373" s="52" t="inlineStr">
        <is>
          <t>Cái</t>
        </is>
      </c>
      <c r="E373" s="61" t="inlineStr">
        <is>
          <t>Cái</t>
        </is>
      </c>
      <c r="F373" s="88" t="n">
        <v>0</v>
      </c>
      <c r="G373" s="85" t="n"/>
      <c r="H373" s="44">
        <f>IF(OR(ISNUMBER(F373),ISNUMBER(G373)),N(F373)-N(G373),"")</f>
        <v/>
      </c>
      <c r="I373" s="142" t="inlineStr">
        <is>
          <t>Không bao gồm louver cho khu nhà trẻ</t>
        </is>
      </c>
      <c r="J373" s="117">
        <f>IF(OR(ISNUMBER(F373),ISNUMBER(G373)),IF(ISBLANK(G373),"⚠️ Chưa bóc tách định mức",IF(H373&gt;=0,"✅ OK - Cho phép đặt hàng","❌ CHẶN ĐẶT HÀNG - CẦN BẢO VỆ KL")),"")</f>
        <v/>
      </c>
      <c r="K373" s="138">
        <f>IF(OR(ISNUMBER(F373),ISNUMBER(G373)),IF(ISBLANK(G373),"Kỹ sư/Thầu phụ cần bóc tách KL bản vẽ",IF(H373&gt;=0,"Được đặt hàng tối đa "&amp;G373&amp;" "&amp;E373,"Vượt dự toán "&amp;ABS(H373)&amp;" "&amp;E373&amp;" (QS giải trình &amp; duyệt sửa BOQ)")),"")</f>
        <v/>
      </c>
    </row>
    <row r="374" ht="15.6" customHeight="1" s="75">
      <c r="A374" s="58" t="inlineStr">
        <is>
          <t>DHKK-B-III1.2.3</t>
        </is>
      </c>
      <c r="B374" s="24" t="n"/>
      <c r="C374" s="99" t="inlineStr">
        <is>
          <t>FAL 1500x400+I.S</t>
        </is>
      </c>
      <c r="D374" s="52" t="inlineStr">
        <is>
          <t>Cái</t>
        </is>
      </c>
      <c r="E374" s="61" t="inlineStr">
        <is>
          <t>Cái</t>
        </is>
      </c>
      <c r="F374" s="88" t="n">
        <v>0</v>
      </c>
      <c r="G374" s="85" t="n"/>
      <c r="H374" s="44">
        <f>IF(OR(ISNUMBER(F374),ISNUMBER(G374)),N(F374)-N(G374),"")</f>
        <v/>
      </c>
      <c r="I374" s="142" t="inlineStr">
        <is>
          <t>Không bao gồm louver cho khu nhà trẻ</t>
        </is>
      </c>
      <c r="J374" s="117">
        <f>IF(OR(ISNUMBER(F374),ISNUMBER(G374)),IF(ISBLANK(G374),"⚠️ Chưa bóc tách định mức",IF(H374&gt;=0,"✅ OK - Cho phép đặt hàng","❌ CHẶN ĐẶT HÀNG - CẦN BẢO VỆ KL")),"")</f>
        <v/>
      </c>
      <c r="K374" s="138">
        <f>IF(OR(ISNUMBER(F374),ISNUMBER(G374)),IF(ISBLANK(G374),"Kỹ sư/Thầu phụ cần bóc tách KL bản vẽ",IF(H374&gt;=0,"Được đặt hàng tối đa "&amp;G374&amp;" "&amp;E374,"Vượt dự toán "&amp;ABS(H374)&amp;" "&amp;E374&amp;" (QS giải trình &amp; duyệt sửa BOQ)")),"")</f>
        <v/>
      </c>
    </row>
    <row r="375" ht="15.6" customHeight="1" s="75">
      <c r="A375" s="58" t="inlineStr">
        <is>
          <t>DHKK-B-III1.2.4</t>
        </is>
      </c>
      <c r="B375" s="24" t="n"/>
      <c r="C375" s="99" t="inlineStr">
        <is>
          <t>EAL 800x500+I.S</t>
        </is>
      </c>
      <c r="D375" s="52" t="inlineStr">
        <is>
          <t>Cái</t>
        </is>
      </c>
      <c r="E375" s="61" t="inlineStr">
        <is>
          <t>Cái</t>
        </is>
      </c>
      <c r="F375" s="88" t="n">
        <v>1</v>
      </c>
      <c r="G375" s="85" t="n"/>
      <c r="H375" s="42">
        <f>IF(OR(ISNUMBER(F375),ISNUMBER(G375)),N(F375)-N(G375),"")</f>
        <v/>
      </c>
      <c r="I375" s="142" t="inlineStr">
        <is>
          <t>Louver nan Z kèm LCCT</t>
        </is>
      </c>
      <c r="J375" s="117">
        <f>IF(OR(ISNUMBER(F375),ISNUMBER(G375)),IF(ISBLANK(G375),"⚠️ Chưa bóc tách định mức",IF(H375&gt;=0,"✅ OK - Cho phép đặt hàng","❌ CHẶN ĐẶT HÀNG - CẦN BẢO VỆ KL")),"")</f>
        <v/>
      </c>
      <c r="K375" s="138">
        <f>IF(OR(ISNUMBER(F375),ISNUMBER(G375)),IF(ISBLANK(G375),"Kỹ sư/Thầu phụ cần bóc tách KL bản vẽ",IF(H375&gt;=0,"Được đặt hàng tối đa "&amp;G375&amp;" "&amp;E375,"Vượt dự toán "&amp;ABS(H375)&amp;" "&amp;E375&amp;" (QS giải trình &amp; duyệt sửa BOQ)")),"")</f>
        <v/>
      </c>
    </row>
    <row r="376" ht="15.6" customHeight="1" s="75">
      <c r="A376" s="58" t="inlineStr">
        <is>
          <t>DHKK-B-III1.2.5</t>
        </is>
      </c>
      <c r="B376" s="24" t="n"/>
      <c r="C376" s="99" t="inlineStr">
        <is>
          <t>EAL 600x250+I.S</t>
        </is>
      </c>
      <c r="D376" s="52" t="inlineStr">
        <is>
          <t>Cái</t>
        </is>
      </c>
      <c r="E376" s="61" t="inlineStr">
        <is>
          <t>Cái</t>
        </is>
      </c>
      <c r="F376" s="88" t="n">
        <v>0</v>
      </c>
      <c r="G376" s="85" t="n"/>
      <c r="H376" s="44">
        <f>IF(OR(ISNUMBER(F376),ISNUMBER(G376)),N(F376)-N(G376),"")</f>
        <v/>
      </c>
      <c r="I376" s="142" t="inlineStr">
        <is>
          <t>Louver nan Z kèm LCCT</t>
        </is>
      </c>
      <c r="J376" s="117">
        <f>IF(OR(ISNUMBER(F376),ISNUMBER(G376)),IF(ISBLANK(G376),"⚠️ Chưa bóc tách định mức",IF(H376&gt;=0,"✅ OK - Cho phép đặt hàng","❌ CHẶN ĐẶT HÀNG - CẦN BẢO VỆ KL")),"")</f>
        <v/>
      </c>
      <c r="K376" s="138">
        <f>IF(OR(ISNUMBER(F376),ISNUMBER(G376)),IF(ISBLANK(G376),"Kỹ sư/Thầu phụ cần bóc tách KL bản vẽ",IF(H376&gt;=0,"Được đặt hàng tối đa "&amp;G376&amp;" "&amp;E376,"Vượt dự toán "&amp;ABS(H376)&amp;" "&amp;E376&amp;" (QS giải trình &amp; duyệt sửa BOQ)")),"")</f>
        <v/>
      </c>
    </row>
    <row r="377" ht="15.6" customHeight="1" s="75">
      <c r="A377" s="58" t="inlineStr">
        <is>
          <t>DHKK-B-III1.2.6</t>
        </is>
      </c>
      <c r="B377" s="24" t="n"/>
      <c r="C377" s="99" t="inlineStr">
        <is>
          <t>EAL 700x300+I.S</t>
        </is>
      </c>
      <c r="D377" s="52" t="inlineStr">
        <is>
          <t>Cái</t>
        </is>
      </c>
      <c r="E377" s="61" t="inlineStr">
        <is>
          <t>Cái</t>
        </is>
      </c>
      <c r="F377" s="88" t="n">
        <v>0</v>
      </c>
      <c r="G377" s="85" t="n"/>
      <c r="H377" s="44">
        <f>IF(OR(ISNUMBER(F377),ISNUMBER(G377)),N(F377)-N(G377),"")</f>
        <v/>
      </c>
      <c r="I377" s="142" t="inlineStr">
        <is>
          <t>Không bao gồm louver cho khu nhà trẻ</t>
        </is>
      </c>
      <c r="J377" s="117">
        <f>IF(OR(ISNUMBER(F377),ISNUMBER(G377)),IF(ISBLANK(G377),"⚠️ Chưa bóc tách định mức",IF(H377&gt;=0,"✅ OK - Cho phép đặt hàng","❌ CHẶN ĐẶT HÀNG - CẦN BẢO VỆ KL")),"")</f>
        <v/>
      </c>
      <c r="K377" s="138">
        <f>IF(OR(ISNUMBER(F377),ISNUMBER(G377)),IF(ISBLANK(G377),"Kỹ sư/Thầu phụ cần bóc tách KL bản vẽ",IF(H377&gt;=0,"Được đặt hàng tối đa "&amp;G377&amp;" "&amp;E377,"Vượt dự toán "&amp;ABS(H377)&amp;" "&amp;E377&amp;" (QS giải trình &amp; duyệt sửa BOQ)")),"")</f>
        <v/>
      </c>
    </row>
    <row r="378" ht="15.6" customHeight="1" s="75">
      <c r="A378" s="58" t="inlineStr">
        <is>
          <t>DHKK-B-III1.2.7</t>
        </is>
      </c>
      <c r="B378" s="24" t="n"/>
      <c r="C378" s="99" t="inlineStr">
        <is>
          <t>FAG 900x600</t>
        </is>
      </c>
      <c r="D378" s="52" t="inlineStr">
        <is>
          <t>Cái</t>
        </is>
      </c>
      <c r="E378" s="61" t="inlineStr">
        <is>
          <t>Cái</t>
        </is>
      </c>
      <c r="F378" s="88" t="n">
        <v>5</v>
      </c>
      <c r="G378" s="85" t="n"/>
      <c r="H378" s="42">
        <f>IF(OR(ISNUMBER(F378),ISNUMBER(G378)),N(F378)-N(G378),"")</f>
        <v/>
      </c>
      <c r="I378" s="142" t="inlineStr">
        <is>
          <t>Miệng gió loại nan bầu dục 1 lớp nan kèm OBD</t>
        </is>
      </c>
      <c r="J378" s="117">
        <f>IF(OR(ISNUMBER(F378),ISNUMBER(G378)),IF(ISBLANK(G378),"⚠️ Chưa bóc tách định mức",IF(H378&gt;=0,"✅ OK - Cho phép đặt hàng","❌ CHẶN ĐẶT HÀNG - CẦN BẢO VỆ KL")),"")</f>
        <v/>
      </c>
      <c r="K378" s="138">
        <f>IF(OR(ISNUMBER(F378),ISNUMBER(G378)),IF(ISBLANK(G378),"Kỹ sư/Thầu phụ cần bóc tách KL bản vẽ",IF(H378&gt;=0,"Được đặt hàng tối đa "&amp;G378&amp;" "&amp;E378,"Vượt dự toán "&amp;ABS(H378)&amp;" "&amp;E378&amp;" (QS giải trình &amp; duyệt sửa BOQ)")),"")</f>
        <v/>
      </c>
    </row>
    <row r="379" ht="15.6" customHeight="1" s="75">
      <c r="A379" s="58" t="inlineStr">
        <is>
          <t>DHKK-B-III1.2.8</t>
        </is>
      </c>
      <c r="B379" s="24" t="n"/>
      <c r="C379" s="99" t="inlineStr">
        <is>
          <t>FAG 1200x400 + OBD</t>
        </is>
      </c>
      <c r="D379" s="52" t="inlineStr">
        <is>
          <t>Cái</t>
        </is>
      </c>
      <c r="E379" s="61" t="inlineStr">
        <is>
          <t>Cái</t>
        </is>
      </c>
      <c r="F379" s="88" t="n">
        <v>1</v>
      </c>
      <c r="G379" s="85" t="n"/>
      <c r="H379" s="42">
        <f>IF(OR(ISNUMBER(F379),ISNUMBER(G379)),N(F379)-N(G379),"")</f>
        <v/>
      </c>
      <c r="I379" s="142" t="inlineStr">
        <is>
          <t>Miệng gió loại nan bầu dục 1 lớp nan kèm OBD</t>
        </is>
      </c>
      <c r="J379" s="117">
        <f>IF(OR(ISNUMBER(F379),ISNUMBER(G379)),IF(ISBLANK(G379),"⚠️ Chưa bóc tách định mức",IF(H379&gt;=0,"✅ OK - Cho phép đặt hàng","❌ CHẶN ĐẶT HÀNG - CẦN BẢO VỆ KL")),"")</f>
        <v/>
      </c>
      <c r="K379" s="138">
        <f>IF(OR(ISNUMBER(F379),ISNUMBER(G379)),IF(ISBLANK(G379),"Kỹ sư/Thầu phụ cần bóc tách KL bản vẽ",IF(H379&gt;=0,"Được đặt hàng tối đa "&amp;G379&amp;" "&amp;E379,"Vượt dự toán "&amp;ABS(H379)&amp;" "&amp;E379&amp;" (QS giải trình &amp; duyệt sửa BOQ)")),"")</f>
        <v/>
      </c>
    </row>
    <row r="380" ht="15.6" customHeight="1" s="75">
      <c r="A380" s="58" t="inlineStr">
        <is>
          <t>DHKK-B-III1.2.9</t>
        </is>
      </c>
      <c r="B380" s="24" t="n"/>
      <c r="C380" s="99" t="inlineStr">
        <is>
          <t>EAG 150x150</t>
        </is>
      </c>
      <c r="D380" s="52" t="inlineStr">
        <is>
          <t>Cái</t>
        </is>
      </c>
      <c r="E380" s="61" t="inlineStr">
        <is>
          <t>Cái</t>
        </is>
      </c>
      <c r="F380" s="88" t="n">
        <v>1</v>
      </c>
      <c r="G380" s="85" t="n"/>
      <c r="H380" s="42">
        <f>IF(OR(ISNUMBER(F380),ISNUMBER(G380)),N(F380)-N(G380),"")</f>
        <v/>
      </c>
      <c r="I380" s="142" t="inlineStr">
        <is>
          <t>Miệng gió loại nan bầu dục 1 lớp nan kèm OBD</t>
        </is>
      </c>
      <c r="J380" s="117">
        <f>IF(OR(ISNUMBER(F380),ISNUMBER(G380)),IF(ISBLANK(G380),"⚠️ Chưa bóc tách định mức",IF(H380&gt;=0,"✅ OK - Cho phép đặt hàng","❌ CHẶN ĐẶT HÀNG - CẦN BẢO VỆ KL")),"")</f>
        <v/>
      </c>
      <c r="K380" s="138">
        <f>IF(OR(ISNUMBER(F380),ISNUMBER(G380)),IF(ISBLANK(G380),"Kỹ sư/Thầu phụ cần bóc tách KL bản vẽ",IF(H380&gt;=0,"Được đặt hàng tối đa "&amp;G380&amp;" "&amp;E380,"Vượt dự toán "&amp;ABS(H380)&amp;" "&amp;E380&amp;" (QS giải trình &amp; duyệt sửa BOQ)")),"")</f>
        <v/>
      </c>
    </row>
    <row r="381" ht="15.6" customHeight="1" s="75">
      <c r="A381" s="58" t="inlineStr">
        <is>
          <t>DHKK-B-III1.2.10</t>
        </is>
      </c>
      <c r="B381" s="24" t="n"/>
      <c r="C381" s="99" t="inlineStr">
        <is>
          <t>EAG 150x150+OBD</t>
        </is>
      </c>
      <c r="D381" s="52" t="inlineStr">
        <is>
          <t>Cái</t>
        </is>
      </c>
      <c r="E381" s="61" t="inlineStr">
        <is>
          <t>Cái</t>
        </is>
      </c>
      <c r="F381" s="88" t="n">
        <v>11</v>
      </c>
      <c r="G381" s="85" t="n"/>
      <c r="H381" s="42">
        <f>IF(OR(ISNUMBER(F381),ISNUMBER(G381)),N(F381)-N(G381),"")</f>
        <v/>
      </c>
      <c r="I381" s="142" t="inlineStr">
        <is>
          <t>Miệng gió loại nan bầu dục 1 lớp nan kèm OBD</t>
        </is>
      </c>
      <c r="J381" s="117">
        <f>IF(OR(ISNUMBER(F381),ISNUMBER(G381)),IF(ISBLANK(G381),"⚠️ Chưa bóc tách định mức",IF(H381&gt;=0,"✅ OK - Cho phép đặt hàng","❌ CHẶN ĐẶT HÀNG - CẦN BẢO VỆ KL")),"")</f>
        <v/>
      </c>
      <c r="K381" s="138">
        <f>IF(OR(ISNUMBER(F381),ISNUMBER(G381)),IF(ISBLANK(G381),"Kỹ sư/Thầu phụ cần bóc tách KL bản vẽ",IF(H381&gt;=0,"Được đặt hàng tối đa "&amp;G381&amp;" "&amp;E381,"Vượt dự toán "&amp;ABS(H381)&amp;" "&amp;E381&amp;" (QS giải trình &amp; duyệt sửa BOQ)")),"")</f>
        <v/>
      </c>
    </row>
    <row r="382" ht="15.6" customHeight="1" s="75">
      <c r="A382" s="58" t="inlineStr">
        <is>
          <t>DHKK-B-III1.2.11</t>
        </is>
      </c>
      <c r="B382" s="24" t="n"/>
      <c r="C382" s="99" t="inlineStr">
        <is>
          <t>EAG 200x200</t>
        </is>
      </c>
      <c r="D382" s="52" t="inlineStr">
        <is>
          <t>Cái</t>
        </is>
      </c>
      <c r="E382" s="61" t="inlineStr">
        <is>
          <t>Cái</t>
        </is>
      </c>
      <c r="F382" s="88" t="n">
        <v>1</v>
      </c>
      <c r="G382" s="85" t="n"/>
      <c r="H382" s="42">
        <f>IF(OR(ISNUMBER(F382),ISNUMBER(G382)),N(F382)-N(G382),"")</f>
        <v/>
      </c>
      <c r="I382" s="142" t="inlineStr">
        <is>
          <t>Miệng gió loại nan bầu dục 1 lớp nan kèm OBD</t>
        </is>
      </c>
      <c r="J382" s="117">
        <f>IF(OR(ISNUMBER(F382),ISNUMBER(G382)),IF(ISBLANK(G382),"⚠️ Chưa bóc tách định mức",IF(H382&gt;=0,"✅ OK - Cho phép đặt hàng","❌ CHẶN ĐẶT HÀNG - CẦN BẢO VỆ KL")),"")</f>
        <v/>
      </c>
      <c r="K382" s="138">
        <f>IF(OR(ISNUMBER(F382),ISNUMBER(G382)),IF(ISBLANK(G382),"Kỹ sư/Thầu phụ cần bóc tách KL bản vẽ",IF(H382&gt;=0,"Được đặt hàng tối đa "&amp;G382&amp;" "&amp;E382,"Vượt dự toán "&amp;ABS(H382)&amp;" "&amp;E382&amp;" (QS giải trình &amp; duyệt sửa BOQ)")),"")</f>
        <v/>
      </c>
    </row>
    <row r="383" ht="15.6" customHeight="1" s="75">
      <c r="A383" s="58" t="inlineStr">
        <is>
          <t>DHKK-B-III1.2.12</t>
        </is>
      </c>
      <c r="B383" s="24" t="n"/>
      <c r="C383" s="99" t="inlineStr">
        <is>
          <t>EAG 350x350+OBD</t>
        </is>
      </c>
      <c r="D383" s="52" t="inlineStr">
        <is>
          <t>Cái</t>
        </is>
      </c>
      <c r="E383" s="61" t="inlineStr">
        <is>
          <t>Cái</t>
        </is>
      </c>
      <c r="F383" s="88" t="n">
        <v>0</v>
      </c>
      <c r="G383" s="85" t="n"/>
      <c r="H383" s="44">
        <f>IF(OR(ISNUMBER(F383),ISNUMBER(G383)),N(F383)-N(G383),"")</f>
        <v/>
      </c>
      <c r="I383" s="142" t="inlineStr">
        <is>
          <t>Không bao gồm miệng gió cho khu nhà trẻ</t>
        </is>
      </c>
      <c r="J383" s="117">
        <f>IF(OR(ISNUMBER(F383),ISNUMBER(G383)),IF(ISBLANK(G383),"⚠️ Chưa bóc tách định mức",IF(H383&gt;=0,"✅ OK - Cho phép đặt hàng","❌ CHẶN ĐẶT HÀNG - CẦN BẢO VỆ KL")),"")</f>
        <v/>
      </c>
      <c r="K383" s="138">
        <f>IF(OR(ISNUMBER(F383),ISNUMBER(G383)),IF(ISBLANK(G383),"Kỹ sư/Thầu phụ cần bóc tách KL bản vẽ",IF(H383&gt;=0,"Được đặt hàng tối đa "&amp;G383&amp;" "&amp;E383,"Vượt dự toán "&amp;ABS(H383)&amp;" "&amp;E383&amp;" (QS giải trình &amp; duyệt sửa BOQ)")),"")</f>
        <v/>
      </c>
    </row>
    <row r="384" ht="15.6" customHeight="1" s="75">
      <c r="A384" s="58" t="inlineStr">
        <is>
          <t>DHKK-B-III1.2.13</t>
        </is>
      </c>
      <c r="B384" s="24" t="n"/>
      <c r="C384" s="99" t="inlineStr">
        <is>
          <t>SAG 150x150+OBD</t>
        </is>
      </c>
      <c r="D384" s="52" t="inlineStr">
        <is>
          <t>Cái</t>
        </is>
      </c>
      <c r="E384" s="61" t="inlineStr">
        <is>
          <t>Cái</t>
        </is>
      </c>
      <c r="F384" s="88" t="n">
        <v>1</v>
      </c>
      <c r="G384" s="85" t="n"/>
      <c r="H384" s="42">
        <f>IF(OR(ISNUMBER(F384),ISNUMBER(G384)),N(F384)-N(G384),"")</f>
        <v/>
      </c>
      <c r="I384" s="142" t="inlineStr">
        <is>
          <t>Không bao gồm miệng gió cho khu nhà trẻ
 Miệng gió loại nan bầu dục 1 lớp nan kèm OBD</t>
        </is>
      </c>
      <c r="J384" s="117">
        <f>IF(OR(ISNUMBER(F384),ISNUMBER(G384)),IF(ISBLANK(G384),"⚠️ Chưa bóc tách định mức",IF(H384&gt;=0,"✅ OK - Cho phép đặt hàng","❌ CHẶN ĐẶT HÀNG - CẦN BẢO VỆ KL")),"")</f>
        <v/>
      </c>
      <c r="K384" s="138">
        <f>IF(OR(ISNUMBER(F384),ISNUMBER(G384)),IF(ISBLANK(G384),"Kỹ sư/Thầu phụ cần bóc tách KL bản vẽ",IF(H384&gt;=0,"Được đặt hàng tối đa "&amp;G384&amp;" "&amp;E384,"Vượt dự toán "&amp;ABS(H384)&amp;" "&amp;E384&amp;" (QS giải trình &amp; duyệt sửa BOQ)")),"")</f>
        <v/>
      </c>
    </row>
    <row r="385" ht="15.6" customHeight="1" s="75">
      <c r="A385" s="58" t="inlineStr">
        <is>
          <t>DHKK-B-III1.2.14</t>
        </is>
      </c>
      <c r="B385" s="24" t="n"/>
      <c r="C385" s="99" t="inlineStr">
        <is>
          <t>SAG 200x200+OBD</t>
        </is>
      </c>
      <c r="D385" s="52" t="inlineStr">
        <is>
          <t>Cái</t>
        </is>
      </c>
      <c r="E385" s="61" t="inlineStr">
        <is>
          <t>Cái</t>
        </is>
      </c>
      <c r="F385" s="88" t="n">
        <v>0</v>
      </c>
      <c r="G385" s="85" t="n"/>
      <c r="H385" s="44">
        <f>IF(OR(ISNUMBER(F385),ISNUMBER(G385)),N(F385)-N(G385),"")</f>
        <v/>
      </c>
      <c r="I385" s="142" t="inlineStr">
        <is>
          <t>Không bao gồm miệng gió cho khu nhà trẻ</t>
        </is>
      </c>
      <c r="J385" s="117">
        <f>IF(OR(ISNUMBER(F385),ISNUMBER(G385)),IF(ISBLANK(G385),"⚠️ Chưa bóc tách định mức",IF(H385&gt;=0,"✅ OK - Cho phép đặt hàng","❌ CHẶN ĐẶT HÀNG - CẦN BẢO VỆ KL")),"")</f>
        <v/>
      </c>
      <c r="K385" s="138">
        <f>IF(OR(ISNUMBER(F385),ISNUMBER(G385)),IF(ISBLANK(G385),"Kỹ sư/Thầu phụ cần bóc tách KL bản vẽ",IF(H385&gt;=0,"Được đặt hàng tối đa "&amp;G385&amp;" "&amp;E385,"Vượt dự toán "&amp;ABS(H385)&amp;" "&amp;E385&amp;" (QS giải trình &amp; duyệt sửa BOQ)")),"")</f>
        <v/>
      </c>
    </row>
    <row r="386" ht="15.6" customHeight="1" s="75">
      <c r="A386" s="58" t="inlineStr">
        <is>
          <t>DHKK-B-III1.2.15</t>
        </is>
      </c>
      <c r="B386" s="24" t="n"/>
      <c r="C386" s="99" t="inlineStr">
        <is>
          <t>SAG 250x250+OBD</t>
        </is>
      </c>
      <c r="D386" s="52" t="inlineStr">
        <is>
          <t>Cái</t>
        </is>
      </c>
      <c r="E386" s="61" t="inlineStr">
        <is>
          <t>Cái</t>
        </is>
      </c>
      <c r="F386" s="88" t="n">
        <v>0</v>
      </c>
      <c r="G386" s="85" t="n"/>
      <c r="H386" s="44">
        <f>IF(OR(ISNUMBER(F386),ISNUMBER(G386)),N(F386)-N(G386),"")</f>
        <v/>
      </c>
      <c r="I386" s="142" t="inlineStr">
        <is>
          <t>Không bao gồm miệng gió cho khu nhà trẻ</t>
        </is>
      </c>
      <c r="J386" s="117">
        <f>IF(OR(ISNUMBER(F386),ISNUMBER(G386)),IF(ISBLANK(G386),"⚠️ Chưa bóc tách định mức",IF(H386&gt;=0,"✅ OK - Cho phép đặt hàng","❌ CHẶN ĐẶT HÀNG - CẦN BẢO VỆ KL")),"")</f>
        <v/>
      </c>
      <c r="K386" s="138">
        <f>IF(OR(ISNUMBER(F386),ISNUMBER(G386)),IF(ISBLANK(G386),"Kỹ sư/Thầu phụ cần bóc tách KL bản vẽ",IF(H386&gt;=0,"Được đặt hàng tối đa "&amp;G386&amp;" "&amp;E386,"Vượt dự toán "&amp;ABS(H386)&amp;" "&amp;E386&amp;" (QS giải trình &amp; duyệt sửa BOQ)")),"")</f>
        <v/>
      </c>
    </row>
    <row r="387" ht="15.6" customHeight="1" s="75">
      <c r="A387" s="58" t="inlineStr">
        <is>
          <t>DHKK-B-III1.2.16</t>
        </is>
      </c>
      <c r="B387" s="24" t="n"/>
      <c r="C387" s="99" t="inlineStr">
        <is>
          <t>SAG 350x350+OBD</t>
        </is>
      </c>
      <c r="D387" s="52" t="inlineStr">
        <is>
          <t>Cái</t>
        </is>
      </c>
      <c r="E387" s="61" t="inlineStr">
        <is>
          <t>Cái</t>
        </is>
      </c>
      <c r="F387" s="88" t="n">
        <v>0</v>
      </c>
      <c r="G387" s="85" t="n"/>
      <c r="H387" s="44">
        <f>IF(OR(ISNUMBER(F387),ISNUMBER(G387)),N(F387)-N(G387),"")</f>
        <v/>
      </c>
      <c r="I387" s="142" t="inlineStr">
        <is>
          <t>Không bao gồm miệng gió cho khu nhà trẻ</t>
        </is>
      </c>
      <c r="J387" s="117">
        <f>IF(OR(ISNUMBER(F387),ISNUMBER(G387)),IF(ISBLANK(G387),"⚠️ Chưa bóc tách định mức",IF(H387&gt;=0,"✅ OK - Cho phép đặt hàng","❌ CHẶN ĐẶT HÀNG - CẦN BẢO VỆ KL")),"")</f>
        <v/>
      </c>
      <c r="K387" s="138">
        <f>IF(OR(ISNUMBER(F387),ISNUMBER(G387)),IF(ISBLANK(G387),"Kỹ sư/Thầu phụ cần bóc tách KL bản vẽ",IF(H387&gt;=0,"Được đặt hàng tối đa "&amp;G387&amp;" "&amp;E387,"Vượt dự toán "&amp;ABS(H387)&amp;" "&amp;E387&amp;" (QS giải trình &amp; duyệt sửa BOQ)")),"")</f>
        <v/>
      </c>
    </row>
    <row r="388" ht="15.6" customHeight="1" s="75">
      <c r="A388" s="58" t="inlineStr">
        <is>
          <t>DHKK-B-III1.2.17</t>
        </is>
      </c>
      <c r="B388" s="24" t="n"/>
      <c r="C388" s="99" t="inlineStr">
        <is>
          <t>MFD 900x600</t>
        </is>
      </c>
      <c r="D388" s="61" t="inlineStr">
        <is>
          <t>Cái</t>
        </is>
      </c>
      <c r="E388" s="61" t="inlineStr">
        <is>
          <t>Cái</t>
        </is>
      </c>
      <c r="F388" s="88" t="n">
        <v>5</v>
      </c>
      <c r="G388" s="85" t="n"/>
      <c r="H388" s="42">
        <f>IF(OR(ISNUMBER(F388),ISNUMBER(G388)),N(F388)-N(G388),"")</f>
        <v/>
      </c>
      <c r="I388" s="142" t="inlineStr">
        <is>
          <t>EI60</t>
        </is>
      </c>
      <c r="J388" s="117">
        <f>IF(OR(ISNUMBER(F388),ISNUMBER(G388)),IF(ISBLANK(G388),"⚠️ Chưa bóc tách định mức",IF(H388&gt;=0,"✅ OK - Cho phép đặt hàng","❌ CHẶN ĐẶT HÀNG - CẦN BẢO VỆ KL")),"")</f>
        <v/>
      </c>
      <c r="K388" s="138">
        <f>IF(OR(ISNUMBER(F388),ISNUMBER(G388)),IF(ISBLANK(G388),"Kỹ sư/Thầu phụ cần bóc tách KL bản vẽ",IF(H388&gt;=0,"Được đặt hàng tối đa "&amp;G388&amp;" "&amp;E388,"Vượt dự toán "&amp;ABS(H388)&amp;" "&amp;E388&amp;" (QS giải trình &amp; duyệt sửa BOQ)")),"")</f>
        <v/>
      </c>
    </row>
    <row r="389" ht="15.6" customHeight="1" s="75">
      <c r="A389" s="58" t="inlineStr">
        <is>
          <t>DHKK-B-III1.2.18</t>
        </is>
      </c>
      <c r="B389" s="24" t="n"/>
      <c r="C389" s="99" t="inlineStr">
        <is>
          <t>VCD D200</t>
        </is>
      </c>
      <c r="D389" s="61" t="inlineStr">
        <is>
          <t>Cái</t>
        </is>
      </c>
      <c r="E389" s="61" t="inlineStr">
        <is>
          <t>Cái</t>
        </is>
      </c>
      <c r="F389" s="88" t="n">
        <v>1</v>
      </c>
      <c r="G389" s="85" t="n"/>
      <c r="H389" s="42">
        <f>IF(OR(ISNUMBER(F389),ISNUMBER(G389)),N(F389)-N(G389),"")</f>
        <v/>
      </c>
      <c r="I389" s="137" t="n"/>
      <c r="J389" s="117">
        <f>IF(OR(ISNUMBER(F389),ISNUMBER(G389)),IF(ISBLANK(G389),"⚠️ Chưa bóc tách định mức",IF(H389&gt;=0,"✅ OK - Cho phép đặt hàng","❌ CHẶN ĐẶT HÀNG - CẦN BẢO VỆ KL")),"")</f>
        <v/>
      </c>
      <c r="K389" s="138">
        <f>IF(OR(ISNUMBER(F389),ISNUMBER(G389)),IF(ISBLANK(G389),"Kỹ sư/Thầu phụ cần bóc tách KL bản vẽ",IF(H389&gt;=0,"Được đặt hàng tối đa "&amp;G389&amp;" "&amp;E389,"Vượt dự toán "&amp;ABS(H389)&amp;" "&amp;E389&amp;" (QS giải trình &amp; duyệt sửa BOQ)")),"")</f>
        <v/>
      </c>
    </row>
    <row r="390" ht="15.6" customHeight="1" s="75">
      <c r="A390" s="58" t="inlineStr">
        <is>
          <t>DHKK-B-III1.2.19</t>
        </is>
      </c>
      <c r="B390" s="24" t="n"/>
      <c r="C390" s="99" t="inlineStr">
        <is>
          <t>VCD D150</t>
        </is>
      </c>
      <c r="D390" s="61" t="inlineStr">
        <is>
          <t>Cái</t>
        </is>
      </c>
      <c r="E390" s="61" t="inlineStr">
        <is>
          <t>Cái</t>
        </is>
      </c>
      <c r="F390" s="88" t="n">
        <v>2</v>
      </c>
      <c r="G390" s="85" t="n"/>
      <c r="H390" s="42">
        <f>IF(OR(ISNUMBER(F390),ISNUMBER(G390)),N(F390)-N(G390),"")</f>
        <v/>
      </c>
      <c r="I390" s="137" t="n"/>
      <c r="J390" s="117">
        <f>IF(OR(ISNUMBER(F390),ISNUMBER(G390)),IF(ISBLANK(G390),"⚠️ Chưa bóc tách định mức",IF(H390&gt;=0,"✅ OK - Cho phép đặt hàng","❌ CHẶN ĐẶT HÀNG - CẦN BẢO VỆ KL")),"")</f>
        <v/>
      </c>
      <c r="K390" s="138">
        <f>IF(OR(ISNUMBER(F390),ISNUMBER(G390)),IF(ISBLANK(G390),"Kỹ sư/Thầu phụ cần bóc tách KL bản vẽ",IF(H390&gt;=0,"Được đặt hàng tối đa "&amp;G390&amp;" "&amp;E390,"Vượt dự toán "&amp;ABS(H390)&amp;" "&amp;E390&amp;" (QS giải trình &amp; duyệt sửa BOQ)")),"")</f>
        <v/>
      </c>
    </row>
    <row r="391" ht="15.6" customHeight="1" s="75">
      <c r="A391" s="58" t="inlineStr">
        <is>
          <t>DHKK-B-III1.2.20</t>
        </is>
      </c>
      <c r="B391" s="24" t="n"/>
      <c r="C391" s="99" t="inlineStr">
        <is>
          <t>VCD D100</t>
        </is>
      </c>
      <c r="D391" s="61" t="inlineStr">
        <is>
          <t>Cái</t>
        </is>
      </c>
      <c r="E391" s="61" t="inlineStr">
        <is>
          <t>Cái</t>
        </is>
      </c>
      <c r="F391" s="88" t="n">
        <v>2</v>
      </c>
      <c r="G391" s="85" t="n"/>
      <c r="H391" s="42">
        <f>IF(OR(ISNUMBER(F391),ISNUMBER(G391)),N(F391)-N(G391),"")</f>
        <v/>
      </c>
      <c r="I391" s="137" t="n"/>
      <c r="J391" s="117">
        <f>IF(OR(ISNUMBER(F391),ISNUMBER(G391)),IF(ISBLANK(G391),"⚠️ Chưa bóc tách định mức",IF(H391&gt;=0,"✅ OK - Cho phép đặt hàng","❌ CHẶN ĐẶT HÀNG - CẦN BẢO VỆ KL")),"")</f>
        <v/>
      </c>
      <c r="K391" s="138">
        <f>IF(OR(ISNUMBER(F391),ISNUMBER(G391)),IF(ISBLANK(G391),"Kỹ sư/Thầu phụ cần bóc tách KL bản vẽ",IF(H391&gt;=0,"Được đặt hàng tối đa "&amp;G391&amp;" "&amp;E391,"Vượt dự toán "&amp;ABS(H391)&amp;" "&amp;E391&amp;" (QS giải trình &amp; duyệt sửa BOQ)")),"")</f>
        <v/>
      </c>
    </row>
    <row r="392" ht="13.8" customHeight="1" s="75">
      <c r="A392" s="80" t="n"/>
      <c r="B392" s="24" t="n"/>
      <c r="C392" s="101" t="n"/>
      <c r="D392" s="24" t="n"/>
      <c r="E392" s="24" t="n"/>
      <c r="F392" s="85" t="n"/>
      <c r="G392" s="85" t="n"/>
      <c r="H392" s="44" t="n"/>
      <c r="I392" s="137" t="n"/>
    </row>
    <row r="393" ht="15.6" customHeight="1" s="75">
      <c r="A393" s="58" t="inlineStr">
        <is>
          <t>DHKK-B-III1.3.0</t>
        </is>
      </c>
      <c r="B393" s="37" t="n">
        <v>3</v>
      </c>
      <c r="C393" s="98" t="inlineStr">
        <is>
          <t>Ống gió</t>
        </is>
      </c>
      <c r="D393" s="24" t="n"/>
      <c r="E393" s="24" t="n"/>
      <c r="F393" s="85" t="n"/>
      <c r="G393" s="85" t="n"/>
      <c r="H393" s="44" t="n"/>
      <c r="I393" s="137" t="n"/>
    </row>
    <row r="394" ht="15.6" customHeight="1" s="75">
      <c r="A394" s="58" t="inlineStr">
        <is>
          <t>DHKK-B-III1.3.1</t>
        </is>
      </c>
      <c r="B394" s="24" t="n"/>
      <c r="C394" s="99" t="inlineStr">
        <is>
          <t>Ống gió tole mạ kẽm dày 0.58mm</t>
        </is>
      </c>
      <c r="D394" s="61" t="inlineStr">
        <is>
          <t>m2</t>
        </is>
      </c>
      <c r="E394" s="61" t="inlineStr">
        <is>
          <t>m2</t>
        </is>
      </c>
      <c r="F394" s="88" t="n">
        <v>53</v>
      </c>
      <c r="G394" s="85" t="n"/>
      <c r="H394" s="42">
        <f>IF(OR(ISNUMBER(F394),ISNUMBER(G394)),N(F394)-N(G394),"")</f>
        <v/>
      </c>
      <c r="I394" s="142" t="inlineStr">
        <is>
          <t>Không bao gồm ống gió cho khu nhà trẻ</t>
        </is>
      </c>
      <c r="J394" s="117">
        <f>IF(OR(ISNUMBER(F394),ISNUMBER(G394)),IF(ISBLANK(G394),"⚠️ Chưa bóc tách định mức",IF(H394&gt;=0,"✅ OK - Cho phép đặt hàng","❌ CHẶN ĐẶT HÀNG - CẦN BẢO VỆ KL")),"")</f>
        <v/>
      </c>
      <c r="K394" s="138">
        <f>IF(OR(ISNUMBER(F394),ISNUMBER(G394)),IF(ISBLANK(G394),"Kỹ sư/Thầu phụ cần bóc tách KL bản vẽ",IF(H394&gt;=0,"Được đặt hàng tối đa "&amp;G394&amp;" "&amp;E394,"Vượt dự toán "&amp;ABS(H394)&amp;" "&amp;E394&amp;" (QS giải trình &amp; duyệt sửa BOQ)")),"")</f>
        <v/>
      </c>
    </row>
    <row r="395" ht="15.6" customHeight="1" s="75">
      <c r="A395" s="58" t="inlineStr">
        <is>
          <t>DHKK-B-III1.3.2</t>
        </is>
      </c>
      <c r="B395" s="24" t="n"/>
      <c r="C395" s="99" t="inlineStr">
        <is>
          <t>Ống gió tole mạ kẽm dày 0.75mm</t>
        </is>
      </c>
      <c r="D395" s="61" t="inlineStr">
        <is>
          <t>m2</t>
        </is>
      </c>
      <c r="E395" s="61" t="inlineStr">
        <is>
          <t>m2</t>
        </is>
      </c>
      <c r="F395" s="88" t="n">
        <v>0</v>
      </c>
      <c r="G395" s="85" t="n"/>
      <c r="H395" s="44">
        <f>IF(OR(ISNUMBER(F395),ISNUMBER(G395)),N(F395)-N(G395),"")</f>
        <v/>
      </c>
      <c r="I395" s="142" t="inlineStr">
        <is>
          <t>Không bao gồm ống gió cho khu nhà trẻ</t>
        </is>
      </c>
      <c r="J395" s="117">
        <f>IF(OR(ISNUMBER(F395),ISNUMBER(G395)),IF(ISBLANK(G395),"⚠️ Chưa bóc tách định mức",IF(H395&gt;=0,"✅ OK - Cho phép đặt hàng","❌ CHẶN ĐẶT HÀNG - CẦN BẢO VỆ KL")),"")</f>
        <v/>
      </c>
      <c r="K395" s="138">
        <f>IF(OR(ISNUMBER(F395),ISNUMBER(G395)),IF(ISBLANK(G395),"Kỹ sư/Thầu phụ cần bóc tách KL bản vẽ",IF(H395&gt;=0,"Được đặt hàng tối đa "&amp;G395&amp;" "&amp;E395,"Vượt dự toán "&amp;ABS(H395)&amp;" "&amp;E395&amp;" (QS giải trình &amp; duyệt sửa BOQ)")),"")</f>
        <v/>
      </c>
    </row>
    <row r="396" ht="15.6" customHeight="1" s="75">
      <c r="A396" s="58" t="inlineStr">
        <is>
          <t>DHKK-B-III1.3.3</t>
        </is>
      </c>
      <c r="B396" s="24" t="n"/>
      <c r="C396" s="99" t="inlineStr">
        <is>
          <t>Ống gió tole mạ kẽm dày 0.95mm</t>
        </is>
      </c>
      <c r="D396" s="61" t="inlineStr">
        <is>
          <t>m2</t>
        </is>
      </c>
      <c r="E396" s="61" t="inlineStr">
        <is>
          <t>m2</t>
        </is>
      </c>
      <c r="F396" s="88" t="n">
        <v>0</v>
      </c>
      <c r="G396" s="85" t="n"/>
      <c r="H396" s="44">
        <f>IF(OR(ISNUMBER(F396),ISNUMBER(G396)),N(F396)-N(G396),"")</f>
        <v/>
      </c>
      <c r="I396" s="142" t="inlineStr">
        <is>
          <t>Không bao gồm ống gió cho khu nhà trẻ</t>
        </is>
      </c>
      <c r="J396" s="117">
        <f>IF(OR(ISNUMBER(F396),ISNUMBER(G396)),IF(ISBLANK(G396),"⚠️ Chưa bóc tách định mức",IF(H396&gt;=0,"✅ OK - Cho phép đặt hàng","❌ CHẶN ĐẶT HÀNG - CẦN BẢO VỆ KL")),"")</f>
        <v/>
      </c>
      <c r="K396" s="138">
        <f>IF(OR(ISNUMBER(F396),ISNUMBER(G396)),IF(ISBLANK(G396),"Kỹ sư/Thầu phụ cần bóc tách KL bản vẽ",IF(H396&gt;=0,"Được đặt hàng tối đa "&amp;G396&amp;" "&amp;E396,"Vượt dự toán "&amp;ABS(H396)&amp;" "&amp;E396&amp;" (QS giải trình &amp; duyệt sửa BOQ)")),"")</f>
        <v/>
      </c>
    </row>
    <row r="397" ht="15.6" customHeight="1" s="75">
      <c r="A397" s="58" t="inlineStr">
        <is>
          <t>DHKK-B-III1.3.4</t>
        </is>
      </c>
      <c r="B397" s="24" t="n"/>
      <c r="C397" s="99" t="inlineStr">
        <is>
          <t>Ống gió tole mạ kẽm dày 0.75mm, chống cháy EI30</t>
        </is>
      </c>
      <c r="D397" s="61" t="inlineStr">
        <is>
          <t>m2</t>
        </is>
      </c>
      <c r="E397" s="61" t="inlineStr">
        <is>
          <t>m2</t>
        </is>
      </c>
      <c r="F397" s="88" t="n">
        <v>76</v>
      </c>
      <c r="G397" s="85" t="n"/>
      <c r="H397" s="42">
        <f>IF(OR(ISNUMBER(F397),ISNUMBER(G397)),N(F397)-N(G397),"")</f>
        <v/>
      </c>
      <c r="I397" s="137" t="n"/>
      <c r="J397" s="117">
        <f>IF(OR(ISNUMBER(F397),ISNUMBER(G397)),IF(ISBLANK(G397),"⚠️ Chưa bóc tách định mức",IF(H397&gt;=0,"✅ OK - Cho phép đặt hàng","❌ CHẶN ĐẶT HÀNG - CẦN BẢO VỆ KL")),"")</f>
        <v/>
      </c>
      <c r="K397" s="138">
        <f>IF(OR(ISNUMBER(F397),ISNUMBER(G397)),IF(ISBLANK(G397),"Kỹ sư/Thầu phụ cần bóc tách KL bản vẽ",IF(H397&gt;=0,"Được đặt hàng tối đa "&amp;G397&amp;" "&amp;E397,"Vượt dự toán "&amp;ABS(H397)&amp;" "&amp;E397&amp;" (QS giải trình &amp; duyệt sửa BOQ)")),"")</f>
        <v/>
      </c>
    </row>
    <row r="398" ht="28.5" customHeight="1" s="75">
      <c r="A398" s="58" t="inlineStr">
        <is>
          <t>DHKK-B-III1.3.5</t>
        </is>
      </c>
      <c r="B398" s="24" t="n"/>
      <c r="C398" s="99" t="inlineStr">
        <is>
          <t>Ống gió tole mạ kẽm dày 0.75mm, chống cháy EI120</t>
        </is>
      </c>
      <c r="D398" s="61" t="inlineStr">
        <is>
          <t>m2</t>
        </is>
      </c>
      <c r="E398" s="61" t="inlineStr">
        <is>
          <t>m2</t>
        </is>
      </c>
      <c r="F398" s="88" t="n">
        <v>14</v>
      </c>
      <c r="G398" s="85" t="n"/>
      <c r="H398" s="42">
        <f>IF(OR(ISNUMBER(F398),ISNUMBER(G398)),N(F398)-N(G398),"")</f>
        <v/>
      </c>
      <c r="I398" s="137" t="n"/>
      <c r="J398" s="117">
        <f>IF(OR(ISNUMBER(F398),ISNUMBER(G398)),IF(ISBLANK(G398),"⚠️ Chưa bóc tách định mức",IF(H398&gt;=0,"✅ OK - Cho phép đặt hàng","❌ CHẶN ĐẶT HÀNG - CẦN BẢO VỆ KL")),"")</f>
        <v/>
      </c>
      <c r="K398" s="138">
        <f>IF(OR(ISNUMBER(F398),ISNUMBER(G398)),IF(ISBLANK(G398),"Kỹ sư/Thầu phụ cần bóc tách KL bản vẽ",IF(H398&gt;=0,"Được đặt hàng tối đa "&amp;G398&amp;" "&amp;E398,"Vượt dự toán "&amp;ABS(H398)&amp;" "&amp;E398&amp;" (QS giải trình &amp; duyệt sửa BOQ)")),"")</f>
        <v/>
      </c>
    </row>
    <row r="399" ht="15.6" customHeight="1" s="75">
      <c r="A399" s="58" t="inlineStr">
        <is>
          <t>DHKK-B-III1.3.6</t>
        </is>
      </c>
      <c r="B399" s="24" t="n"/>
      <c r="C399" s="99" t="inlineStr">
        <is>
          <t>Ống gió inox 304 dày 0.75mm</t>
        </is>
      </c>
      <c r="D399" s="61" t="inlineStr">
        <is>
          <t>m2</t>
        </is>
      </c>
      <c r="E399" s="61" t="inlineStr">
        <is>
          <t>m2</t>
        </is>
      </c>
      <c r="F399" s="88" t="n">
        <v>0</v>
      </c>
      <c r="G399" s="85" t="n"/>
      <c r="H399" s="44">
        <f>IF(OR(ISNUMBER(F399),ISNUMBER(G399)),N(F399)-N(G399),"")</f>
        <v/>
      </c>
      <c r="I399" s="142" t="inlineStr">
        <is>
          <t>Không bao gồm ống gió cho khu nhà trẻ</t>
        </is>
      </c>
      <c r="J399" s="117">
        <f>IF(OR(ISNUMBER(F399),ISNUMBER(G399)),IF(ISBLANK(G399),"⚠️ Chưa bóc tách định mức",IF(H399&gt;=0,"✅ OK - Cho phép đặt hàng","❌ CHẶN ĐẶT HÀNG - CẦN BẢO VỆ KL")),"")</f>
        <v/>
      </c>
      <c r="K399" s="138">
        <f>IF(OR(ISNUMBER(F399),ISNUMBER(G399)),IF(ISBLANK(G399),"Kỹ sư/Thầu phụ cần bóc tách KL bản vẽ",IF(H399&gt;=0,"Được đặt hàng tối đa "&amp;G399&amp;" "&amp;E399,"Vượt dự toán "&amp;ABS(H399)&amp;" "&amp;E399&amp;" (QS giải trình &amp; duyệt sửa BOQ)")),"")</f>
        <v/>
      </c>
    </row>
    <row r="400" ht="15.6" customHeight="1" s="75">
      <c r="A400" s="58" t="inlineStr">
        <is>
          <t>DHKK-B-III1.3.7</t>
        </is>
      </c>
      <c r="B400" s="24" t="n"/>
      <c r="C400" s="99" t="inlineStr">
        <is>
          <t>Ống gió mềm không cách nhiệt D100</t>
        </is>
      </c>
      <c r="D400" s="61" t="inlineStr">
        <is>
          <t>m</t>
        </is>
      </c>
      <c r="E400" s="61" t="inlineStr">
        <is>
          <t>m</t>
        </is>
      </c>
      <c r="F400" s="88" t="n">
        <v>5</v>
      </c>
      <c r="G400" s="85" t="n"/>
      <c r="H400" s="42">
        <f>IF(OR(ISNUMBER(F400),ISNUMBER(G400)),N(F400)-N(G400),"")</f>
        <v/>
      </c>
      <c r="I400" s="142" t="inlineStr">
        <is>
          <t>Không bao gồm ống gió cho khu nhà trẻ</t>
        </is>
      </c>
      <c r="J400" s="117">
        <f>IF(OR(ISNUMBER(F400),ISNUMBER(G400)),IF(ISBLANK(G400),"⚠️ Chưa bóc tách định mức",IF(H400&gt;=0,"✅ OK - Cho phép đặt hàng","❌ CHẶN ĐẶT HÀNG - CẦN BẢO VỆ KL")),"")</f>
        <v/>
      </c>
      <c r="K400" s="138">
        <f>IF(OR(ISNUMBER(F400),ISNUMBER(G400)),IF(ISBLANK(G400),"Kỹ sư/Thầu phụ cần bóc tách KL bản vẽ",IF(H400&gt;=0,"Được đặt hàng tối đa "&amp;G400&amp;" "&amp;E400,"Vượt dự toán "&amp;ABS(H400)&amp;" "&amp;E400&amp;" (QS giải trình &amp; duyệt sửa BOQ)")),"")</f>
        <v/>
      </c>
    </row>
    <row r="401" ht="15.6" customHeight="1" s="75">
      <c r="A401" s="58" t="inlineStr">
        <is>
          <t>DHKK-B-III1.3.8</t>
        </is>
      </c>
      <c r="B401" s="24" t="n"/>
      <c r="C401" s="99" t="inlineStr">
        <is>
          <t>Ống gió mềm không cách nhiệt D150</t>
        </is>
      </c>
      <c r="D401" s="61" t="inlineStr">
        <is>
          <t>m</t>
        </is>
      </c>
      <c r="E401" s="61" t="inlineStr">
        <is>
          <t>m</t>
        </is>
      </c>
      <c r="F401" s="88" t="n">
        <v>35</v>
      </c>
      <c r="G401" s="85" t="n"/>
      <c r="H401" s="42">
        <f>IF(OR(ISNUMBER(F401),ISNUMBER(G401)),N(F401)-N(G401),"")</f>
        <v/>
      </c>
      <c r="I401" s="142" t="inlineStr">
        <is>
          <t>Không bao gồm ống gió cho khu nhà trẻ</t>
        </is>
      </c>
      <c r="J401" s="117">
        <f>IF(OR(ISNUMBER(F401),ISNUMBER(G401)),IF(ISBLANK(G401),"⚠️ Chưa bóc tách định mức",IF(H401&gt;=0,"✅ OK - Cho phép đặt hàng","❌ CHẶN ĐẶT HÀNG - CẦN BẢO VỆ KL")),"")</f>
        <v/>
      </c>
      <c r="K401" s="138">
        <f>IF(OR(ISNUMBER(F401),ISNUMBER(G401)),IF(ISBLANK(G401),"Kỹ sư/Thầu phụ cần bóc tách KL bản vẽ",IF(H401&gt;=0,"Được đặt hàng tối đa "&amp;G401&amp;" "&amp;E401,"Vượt dự toán "&amp;ABS(H401)&amp;" "&amp;E401&amp;" (QS giải trình &amp; duyệt sửa BOQ)")),"")</f>
        <v/>
      </c>
    </row>
    <row r="402" ht="15.6" customHeight="1" s="75">
      <c r="A402" s="58" t="inlineStr">
        <is>
          <t>DHKK-B-III1.3.9</t>
        </is>
      </c>
      <c r="B402" s="24" t="n"/>
      <c r="C402" s="99" t="inlineStr">
        <is>
          <t>Ống gió mềm không cách nhiệt D200</t>
        </is>
      </c>
      <c r="D402" s="61" t="inlineStr">
        <is>
          <t>m</t>
        </is>
      </c>
      <c r="E402" s="61" t="inlineStr">
        <is>
          <t>m</t>
        </is>
      </c>
      <c r="F402" s="88" t="n">
        <v>5</v>
      </c>
      <c r="G402" s="85" t="n"/>
      <c r="H402" s="42">
        <f>IF(OR(ISNUMBER(F402),ISNUMBER(G402)),N(F402)-N(G402),"")</f>
        <v/>
      </c>
      <c r="I402" s="142" t="inlineStr">
        <is>
          <t>Không bao gồm ống gió cho khu nhà trẻ</t>
        </is>
      </c>
      <c r="J402" s="117">
        <f>IF(OR(ISNUMBER(F402),ISNUMBER(G402)),IF(ISBLANK(G402),"⚠️ Chưa bóc tách định mức",IF(H402&gt;=0,"✅ OK - Cho phép đặt hàng","❌ CHẶN ĐẶT HÀNG - CẦN BẢO VỆ KL")),"")</f>
        <v/>
      </c>
      <c r="K402" s="138">
        <f>IF(OR(ISNUMBER(F402),ISNUMBER(G402)),IF(ISBLANK(G402),"Kỹ sư/Thầu phụ cần bóc tách KL bản vẽ",IF(H402&gt;=0,"Được đặt hàng tối đa "&amp;G402&amp;" "&amp;E402,"Vượt dự toán "&amp;ABS(H402)&amp;" "&amp;E402&amp;" (QS giải trình &amp; duyệt sửa BOQ)")),"")</f>
        <v/>
      </c>
    </row>
    <row r="403" ht="15.6" customHeight="1" s="75">
      <c r="A403" s="58" t="inlineStr">
        <is>
          <t>DHKK-B-III1.3.10</t>
        </is>
      </c>
      <c r="B403" s="24" t="n"/>
      <c r="C403" s="99" t="inlineStr">
        <is>
          <t>Ống gió mềm không cách nhiệt D250</t>
        </is>
      </c>
      <c r="D403" s="61" t="inlineStr">
        <is>
          <t>m</t>
        </is>
      </c>
      <c r="E403" s="61" t="inlineStr">
        <is>
          <t>m</t>
        </is>
      </c>
      <c r="F403" s="88" t="n">
        <v>0</v>
      </c>
      <c r="G403" s="85" t="n"/>
      <c r="H403" s="44">
        <f>IF(OR(ISNUMBER(F403),ISNUMBER(G403)),N(F403)-N(G403),"")</f>
        <v/>
      </c>
      <c r="I403" s="142" t="inlineStr">
        <is>
          <t>Không bao gồm ống gió cho khu nhà trẻ</t>
        </is>
      </c>
      <c r="J403" s="117">
        <f>IF(OR(ISNUMBER(F403),ISNUMBER(G403)),IF(ISBLANK(G403),"⚠️ Chưa bóc tách định mức",IF(H403&gt;=0,"✅ OK - Cho phép đặt hàng","❌ CHẶN ĐẶT HÀNG - CẦN BẢO VỆ KL")),"")</f>
        <v/>
      </c>
      <c r="K403" s="138">
        <f>IF(OR(ISNUMBER(F403),ISNUMBER(G403)),IF(ISBLANK(G403),"Kỹ sư/Thầu phụ cần bóc tách KL bản vẽ",IF(H403&gt;=0,"Được đặt hàng tối đa "&amp;G403&amp;" "&amp;E403,"Vượt dự toán "&amp;ABS(H403)&amp;" "&amp;E403&amp;" (QS giải trình &amp; duyệt sửa BOQ)")),"")</f>
        <v/>
      </c>
    </row>
    <row r="404" ht="15.6" customHeight="1" s="75">
      <c r="A404" s="58" t="inlineStr">
        <is>
          <t>DHKK-B-III1.3.11</t>
        </is>
      </c>
      <c r="B404" s="24" t="n"/>
      <c r="C404" s="101" t="n"/>
      <c r="D404" s="24" t="n"/>
      <c r="E404" s="24" t="n"/>
      <c r="F404" s="85" t="n"/>
      <c r="G404" s="85" t="n"/>
      <c r="H404" s="44" t="n"/>
      <c r="I404" s="137" t="n"/>
    </row>
    <row r="405" ht="28.8" customHeight="1" s="75">
      <c r="A405" s="58" t="inlineStr">
        <is>
          <t>DHKK-B-III2.</t>
        </is>
      </c>
      <c r="B405" s="33" t="inlineStr">
        <is>
          <t>III.2</t>
        </is>
      </c>
      <c r="C405" s="97" t="inlineStr">
        <is>
          <t>HỆ THỐNG HÚT KHÍ THẢI, CẤP GIÓ TƯƠI KHU TIỆN ÍCH, KHU SHCĐ</t>
        </is>
      </c>
      <c r="D405" s="34" t="n"/>
      <c r="E405" s="34" t="n"/>
      <c r="F405" s="87" t="n"/>
      <c r="G405" s="87" t="n"/>
      <c r="H405" s="35" t="n"/>
      <c r="I405" s="144" t="n"/>
    </row>
    <row r="406" ht="15.6" customHeight="1" s="75">
      <c r="A406" s="58" t="inlineStr">
        <is>
          <t>DHKK-B-III2.1.0</t>
        </is>
      </c>
      <c r="B406" s="37" t="n">
        <v>1</v>
      </c>
      <c r="C406" s="98" t="inlineStr">
        <is>
          <t>Quạt thông gió</t>
        </is>
      </c>
      <c r="D406" s="24" t="n"/>
      <c r="E406" s="24" t="n"/>
      <c r="F406" s="85" t="n"/>
      <c r="G406" s="85" t="n"/>
      <c r="H406" s="44" t="n"/>
      <c r="I406" s="137" t="n"/>
    </row>
    <row r="407" ht="42.3" customHeight="1" s="75">
      <c r="A407" s="58" t="inlineStr">
        <is>
          <t>DHKK-B-III2.1.1</t>
        </is>
      </c>
      <c r="B407" s="24" t="n"/>
      <c r="C407" s="99" t="inlineStr">
        <is>
          <t>Quạt hút khí kiểu hướng trục nối ống gió EAF-3F-01
 + Lưu lượng: 250 l/s
 + Áp suất : 200 Pa</t>
        </is>
      </c>
      <c r="D407" s="61" t="inlineStr">
        <is>
          <t>Bộ</t>
        </is>
      </c>
      <c r="E407" s="61" t="inlineStr">
        <is>
          <t>Bộ</t>
        </is>
      </c>
      <c r="F407" s="88" t="n">
        <v>1</v>
      </c>
      <c r="G407" s="85" t="n"/>
      <c r="H407" s="42">
        <f>IF(OR(ISNUMBER(F407),ISNUMBER(G407)),N(F407)-N(G407),"")</f>
        <v/>
      </c>
      <c r="I407" s="137" t="n"/>
      <c r="J407" s="117">
        <f>IF(OR(ISNUMBER(F407),ISNUMBER(G407)),IF(ISBLANK(G407),"⚠️ Chưa bóc tách định mức",IF(H407&gt;=0,"✅ OK - Cho phép đặt hàng","❌ CHẶN ĐẶT HÀNG - CẦN BẢO VỆ KL")),"")</f>
        <v/>
      </c>
      <c r="K407" s="138">
        <f>IF(OR(ISNUMBER(F407),ISNUMBER(G407)),IF(ISBLANK(G407),"Kỹ sư/Thầu phụ cần bóc tách KL bản vẽ",IF(H407&gt;=0,"Được đặt hàng tối đa "&amp;G407&amp;" "&amp;E407,"Vượt dự toán "&amp;ABS(H407)&amp;" "&amp;E407&amp;" (QS giải trình &amp; duyệt sửa BOQ)")),"")</f>
        <v/>
      </c>
    </row>
    <row r="408" ht="42.3" customHeight="1" s="75">
      <c r="A408" s="58" t="inlineStr">
        <is>
          <t>DHKK-B-III2.1.2</t>
        </is>
      </c>
      <c r="B408" s="24" t="n"/>
      <c r="C408" s="99" t="inlineStr">
        <is>
          <t>Quạt cấp khí kiểu hướng trục nối ống gió FAF-3F-01
 + Lưu lượng: 200 l/s
 + Áp suất : 200 Pa</t>
        </is>
      </c>
      <c r="D408" s="61" t="inlineStr">
        <is>
          <t>Bộ</t>
        </is>
      </c>
      <c r="E408" s="61" t="inlineStr">
        <is>
          <t>Bộ</t>
        </is>
      </c>
      <c r="F408" s="88" t="n">
        <v>1</v>
      </c>
      <c r="G408" s="85" t="n"/>
      <c r="H408" s="42">
        <f>IF(OR(ISNUMBER(F408),ISNUMBER(G408)),N(F408)-N(G408),"")</f>
        <v/>
      </c>
      <c r="I408" s="137" t="n"/>
      <c r="J408" s="117">
        <f>IF(OR(ISNUMBER(F408),ISNUMBER(G408)),IF(ISBLANK(G408),"⚠️ Chưa bóc tách định mức",IF(H408&gt;=0,"✅ OK - Cho phép đặt hàng","❌ CHẶN ĐẶT HÀNG - CẦN BẢO VỆ KL")),"")</f>
        <v/>
      </c>
      <c r="K408" s="138">
        <f>IF(OR(ISNUMBER(F408),ISNUMBER(G408)),IF(ISBLANK(G408),"Kỹ sư/Thầu phụ cần bóc tách KL bản vẽ",IF(H408&gt;=0,"Được đặt hàng tối đa "&amp;G408&amp;" "&amp;E408,"Vượt dự toán "&amp;ABS(H408)&amp;" "&amp;E408&amp;" (QS giải trình &amp; duyệt sửa BOQ)")),"")</f>
        <v/>
      </c>
    </row>
    <row r="409" ht="42.3" customHeight="1" s="75">
      <c r="A409" s="58" t="inlineStr">
        <is>
          <t>DHKK-B-III2.1.3</t>
        </is>
      </c>
      <c r="B409" s="24" t="n"/>
      <c r="C409" s="99" t="inlineStr">
        <is>
          <t>Quạt cấp khí kiểu hướng trục nối ống gió FAF-3F-02
 + Lưu lượng: 250 l/s
 + Áp suất : 200 Pa</t>
        </is>
      </c>
      <c r="D409" s="61" t="inlineStr">
        <is>
          <t>Bộ</t>
        </is>
      </c>
      <c r="E409" s="61" t="inlineStr">
        <is>
          <t>Bộ</t>
        </is>
      </c>
      <c r="F409" s="88" t="n">
        <v>1</v>
      </c>
      <c r="G409" s="85" t="n"/>
      <c r="H409" s="42">
        <f>IF(OR(ISNUMBER(F409),ISNUMBER(G409)),N(F409)-N(G409),"")</f>
        <v/>
      </c>
      <c r="I409" s="137" t="n"/>
      <c r="J409" s="117">
        <f>IF(OR(ISNUMBER(F409),ISNUMBER(G409)),IF(ISBLANK(G409),"⚠️ Chưa bóc tách định mức",IF(H409&gt;=0,"✅ OK - Cho phép đặt hàng","❌ CHẶN ĐẶT HÀNG - CẦN BẢO VỆ KL")),"")</f>
        <v/>
      </c>
      <c r="K409" s="138">
        <f>IF(OR(ISNUMBER(F409),ISNUMBER(G409)),IF(ISBLANK(G409),"Kỹ sư/Thầu phụ cần bóc tách KL bản vẽ",IF(H409&gt;=0,"Được đặt hàng tối đa "&amp;G409&amp;" "&amp;E409,"Vượt dự toán "&amp;ABS(H409)&amp;" "&amp;E409&amp;" (QS giải trình &amp; duyệt sửa BOQ)")),"")</f>
        <v/>
      </c>
    </row>
    <row r="410" ht="42.3" customHeight="1" s="75">
      <c r="A410" s="58" t="inlineStr">
        <is>
          <t>DHKK-B-III2.1.4</t>
        </is>
      </c>
      <c r="B410" s="24" t="n"/>
      <c r="C410" s="99" t="inlineStr">
        <is>
          <t>Quạt cấp khí kiểu hướng trục nối ống gió FAF-3F-03
 + Lưu lượng: 500 l/s
 + Áp suất : 200 Pa</t>
        </is>
      </c>
      <c r="D410" s="61" t="inlineStr">
        <is>
          <t>Bộ</t>
        </is>
      </c>
      <c r="E410" s="61" t="inlineStr">
        <is>
          <t>Bộ</t>
        </is>
      </c>
      <c r="F410" s="88" t="n">
        <v>1</v>
      </c>
      <c r="G410" s="85" t="n"/>
      <c r="H410" s="42">
        <f>IF(OR(ISNUMBER(F410),ISNUMBER(G410)),N(F410)-N(G410),"")</f>
        <v/>
      </c>
      <c r="I410" s="137" t="n"/>
      <c r="J410" s="117">
        <f>IF(OR(ISNUMBER(F410),ISNUMBER(G410)),IF(ISBLANK(G410),"⚠️ Chưa bóc tách định mức",IF(H410&gt;=0,"✅ OK - Cho phép đặt hàng","❌ CHẶN ĐẶT HÀNG - CẦN BẢO VỆ KL")),"")</f>
        <v/>
      </c>
      <c r="K410" s="138">
        <f>IF(OR(ISNUMBER(F410),ISNUMBER(G410)),IF(ISBLANK(G410),"Kỹ sư/Thầu phụ cần bóc tách KL bản vẽ",IF(H410&gt;=0,"Được đặt hàng tối đa "&amp;G410&amp;" "&amp;E410,"Vượt dự toán "&amp;ABS(H410)&amp;" "&amp;E410&amp;" (QS giải trình &amp; duyệt sửa BOQ)")),"")</f>
        <v/>
      </c>
    </row>
    <row r="411" ht="42.3" customHeight="1" s="75">
      <c r="A411" s="58" t="inlineStr">
        <is>
          <t>DHKK-B-III2.1.5</t>
        </is>
      </c>
      <c r="B411" s="24" t="n"/>
      <c r="C411" s="99" t="inlineStr">
        <is>
          <t>Quạt cấp khí kiểu hướng trục nối ống gió FAF-2F-01
 + Lưu lượng: 350 l/s
 + Áp suất : 200 Pa</t>
        </is>
      </c>
      <c r="D411" s="61" t="inlineStr">
        <is>
          <t>Bộ</t>
        </is>
      </c>
      <c r="E411" s="61" t="inlineStr">
        <is>
          <t>Bộ</t>
        </is>
      </c>
      <c r="F411" s="88" t="n">
        <v>0</v>
      </c>
      <c r="G411" s="85" t="n"/>
      <c r="H411" s="44">
        <f>IF(OR(ISNUMBER(F411),ISNUMBER(G411)),N(F411)-N(G411),"")</f>
        <v/>
      </c>
      <c r="I411" s="137" t="n"/>
      <c r="J411" s="117">
        <f>IF(OR(ISNUMBER(F411),ISNUMBER(G411)),IF(ISBLANK(G411),"⚠️ Chưa bóc tách định mức",IF(H411&gt;=0,"✅ OK - Cho phép đặt hàng","❌ CHẶN ĐẶT HÀNG - CẦN BẢO VỆ KL")),"")</f>
        <v/>
      </c>
      <c r="K411" s="138">
        <f>IF(OR(ISNUMBER(F411),ISNUMBER(G411)),IF(ISBLANK(G411),"Kỹ sư/Thầu phụ cần bóc tách KL bản vẽ",IF(H411&gt;=0,"Được đặt hàng tối đa "&amp;G411&amp;" "&amp;E411,"Vượt dự toán "&amp;ABS(H411)&amp;" "&amp;E411&amp;" (QS giải trình &amp; duyệt sửa BOQ)")),"")</f>
        <v/>
      </c>
    </row>
    <row r="412" ht="42.3" customHeight="1" s="75">
      <c r="A412" s="58" t="inlineStr">
        <is>
          <t>DHKK-B-III2.1.6</t>
        </is>
      </c>
      <c r="B412" s="24" t="n"/>
      <c r="C412" s="99" t="inlineStr">
        <is>
          <t>Quạt cấp khí kiểu hướng trục nối ống gió FAF-3F-01
 + Lưu lượng: 600 l/s
 + Áp suất : 200 Pa</t>
        </is>
      </c>
      <c r="D412" s="61" t="inlineStr">
        <is>
          <t>Bộ</t>
        </is>
      </c>
      <c r="E412" s="61" t="inlineStr">
        <is>
          <t>Bộ</t>
        </is>
      </c>
      <c r="F412" s="88" t="n">
        <v>0</v>
      </c>
      <c r="G412" s="85" t="n"/>
      <c r="H412" s="44">
        <f>IF(OR(ISNUMBER(F412),ISNUMBER(G412)),N(F412)-N(G412),"")</f>
        <v/>
      </c>
      <c r="I412" s="137" t="n"/>
      <c r="J412" s="117">
        <f>IF(OR(ISNUMBER(F412),ISNUMBER(G412)),IF(ISBLANK(G412),"⚠️ Chưa bóc tách định mức",IF(H412&gt;=0,"✅ OK - Cho phép đặt hàng","❌ CHẶN ĐẶT HÀNG - CẦN BẢO VỆ KL")),"")</f>
        <v/>
      </c>
      <c r="K412" s="138">
        <f>IF(OR(ISNUMBER(F412),ISNUMBER(G412)),IF(ISBLANK(G412),"Kỹ sư/Thầu phụ cần bóc tách KL bản vẽ",IF(H412&gt;=0,"Được đặt hàng tối đa "&amp;G412&amp;" "&amp;E412,"Vượt dự toán "&amp;ABS(H412)&amp;" "&amp;E412&amp;" (QS giải trình &amp; duyệt sửa BOQ)")),"")</f>
        <v/>
      </c>
    </row>
    <row r="413" ht="13.8" customHeight="1" s="75">
      <c r="A413" s="80" t="n"/>
      <c r="B413" s="24" t="n"/>
      <c r="C413" s="100" t="inlineStr">
        <is>
          <t>Nối mềm cho quạt</t>
        </is>
      </c>
      <c r="D413" s="61" t="inlineStr">
        <is>
          <t>Bộ</t>
        </is>
      </c>
      <c r="E413" s="61" t="inlineStr">
        <is>
          <t>Bộ</t>
        </is>
      </c>
      <c r="F413" s="88" t="n">
        <v>4</v>
      </c>
      <c r="G413" s="85" t="n"/>
      <c r="H413" s="42">
        <f>IF(OR(ISNUMBER(F413),ISNUMBER(G413)),N(F413)-N(G413),"")</f>
        <v/>
      </c>
      <c r="I413" s="142" t="inlineStr">
        <is>
          <t>1 bộ gồm 2 cái</t>
        </is>
      </c>
      <c r="J413" s="117">
        <f>IF(OR(ISNUMBER(F413),ISNUMBER(G413)),IF(ISBLANK(G413),"⚠️ Chưa bóc tách định mức",IF(H413&gt;=0,"✅ OK - Cho phép đặt hàng","❌ CHẶN ĐẶT HÀNG - CẦN BẢO VỆ KL")),"")</f>
        <v/>
      </c>
      <c r="K413" s="138">
        <f>IF(OR(ISNUMBER(F413),ISNUMBER(G413)),IF(ISBLANK(G413),"Kỹ sư/Thầu phụ cần bóc tách KL bản vẽ",IF(H413&gt;=0,"Được đặt hàng tối đa "&amp;G413&amp;" "&amp;E413,"Vượt dự toán "&amp;ABS(H413)&amp;" "&amp;E413&amp;" (QS giải trình &amp; duyệt sửa BOQ)")),"")</f>
        <v/>
      </c>
    </row>
    <row r="414" ht="13.8" customHeight="1" s="75">
      <c r="A414" s="80" t="n"/>
      <c r="B414" s="24" t="n"/>
      <c r="C414" s="101" t="n"/>
      <c r="D414" s="24" t="n"/>
      <c r="E414" s="24" t="n"/>
      <c r="F414" s="85" t="n"/>
      <c r="G414" s="85" t="n"/>
      <c r="H414" s="44" t="n"/>
      <c r="I414" s="137" t="n"/>
    </row>
    <row r="415" ht="14.1" customHeight="1" s="75">
      <c r="A415" s="80" t="n"/>
      <c r="B415" s="37" t="n">
        <v>2</v>
      </c>
      <c r="C415" s="98" t="inlineStr">
        <is>
          <t>Miệng gió, van gió</t>
        </is>
      </c>
      <c r="D415" s="24" t="n"/>
      <c r="E415" s="24" t="n"/>
      <c r="F415" s="85" t="n"/>
      <c r="G415" s="85" t="n"/>
      <c r="H415" s="44" t="n"/>
      <c r="I415" s="137" t="n"/>
    </row>
    <row r="416" ht="15.6" customHeight="1" s="75">
      <c r="A416" s="58" t="inlineStr">
        <is>
          <t>DHKK-B-III2.2.1</t>
        </is>
      </c>
      <c r="B416" s="24" t="n"/>
      <c r="C416" s="99" t="inlineStr">
        <is>
          <t>EAL 800x250+I.S</t>
        </is>
      </c>
      <c r="D416" s="61" t="inlineStr">
        <is>
          <t>Cái</t>
        </is>
      </c>
      <c r="E416" s="61" t="inlineStr">
        <is>
          <t>Cái</t>
        </is>
      </c>
      <c r="F416" s="88" t="n">
        <v>1</v>
      </c>
      <c r="G416" s="85" t="n"/>
      <c r="H416" s="42">
        <f>IF(OR(ISNUMBER(F416),ISNUMBER(G416)),N(F416)-N(G416),"")</f>
        <v/>
      </c>
      <c r="I416" s="142" t="inlineStr">
        <is>
          <t>Louver nan Z kèm LCCT</t>
        </is>
      </c>
      <c r="J416" s="117">
        <f>IF(OR(ISNUMBER(F416),ISNUMBER(G416)),IF(ISBLANK(G416),"⚠️ Chưa bóc tách định mức",IF(H416&gt;=0,"✅ OK - Cho phép đặt hàng","❌ CHẶN ĐẶT HÀNG - CẦN BẢO VỆ KL")),"")</f>
        <v/>
      </c>
      <c r="K416" s="138">
        <f>IF(OR(ISNUMBER(F416),ISNUMBER(G416)),IF(ISBLANK(G416),"Kỹ sư/Thầu phụ cần bóc tách KL bản vẽ",IF(H416&gt;=0,"Được đặt hàng tối đa "&amp;G416&amp;" "&amp;E416,"Vượt dự toán "&amp;ABS(H416)&amp;" "&amp;E416&amp;" (QS giải trình &amp; duyệt sửa BOQ)")),"")</f>
        <v/>
      </c>
    </row>
    <row r="417" ht="15.6" customHeight="1" s="75">
      <c r="A417" s="58" t="inlineStr">
        <is>
          <t>DHKK-B-III2.2.2</t>
        </is>
      </c>
      <c r="B417" s="24" t="n"/>
      <c r="C417" s="99" t="inlineStr">
        <is>
          <t>FAL 1000x300+I.S</t>
        </is>
      </c>
      <c r="D417" s="61" t="inlineStr">
        <is>
          <t>Cái</t>
        </is>
      </c>
      <c r="E417" s="61" t="inlineStr">
        <is>
          <t>Cái</t>
        </is>
      </c>
      <c r="F417" s="88" t="n">
        <v>0</v>
      </c>
      <c r="G417" s="85" t="n"/>
      <c r="H417" s="44">
        <f>IF(OR(ISNUMBER(F417),ISNUMBER(G417)),N(F417)-N(G417),"")</f>
        <v/>
      </c>
      <c r="I417" s="142" t="inlineStr">
        <is>
          <t>Louver nan Z kèm LCCT</t>
        </is>
      </c>
      <c r="J417" s="117">
        <f>IF(OR(ISNUMBER(F417),ISNUMBER(G417)),IF(ISBLANK(G417),"⚠️ Chưa bóc tách định mức",IF(H417&gt;=0,"✅ OK - Cho phép đặt hàng","❌ CHẶN ĐẶT HÀNG - CẦN BẢO VỆ KL")),"")</f>
        <v/>
      </c>
      <c r="K417" s="138">
        <f>IF(OR(ISNUMBER(F417),ISNUMBER(G417)),IF(ISBLANK(G417),"Kỹ sư/Thầu phụ cần bóc tách KL bản vẽ",IF(H417&gt;=0,"Được đặt hàng tối đa "&amp;G417&amp;" "&amp;E417,"Vượt dự toán "&amp;ABS(H417)&amp;" "&amp;E417&amp;" (QS giải trình &amp; duyệt sửa BOQ)")),"")</f>
        <v/>
      </c>
    </row>
    <row r="418" ht="15.6" customHeight="1" s="75">
      <c r="A418" s="58" t="inlineStr">
        <is>
          <t>DHKK-B-III2.2.3</t>
        </is>
      </c>
      <c r="B418" s="24" t="n"/>
      <c r="C418" s="99" t="inlineStr">
        <is>
          <t>FAL 1500x300+I.S</t>
        </is>
      </c>
      <c r="D418" s="61" t="inlineStr">
        <is>
          <t>Cái</t>
        </is>
      </c>
      <c r="E418" s="61" t="inlineStr">
        <is>
          <t>Cái</t>
        </is>
      </c>
      <c r="F418" s="88" t="n">
        <v>0</v>
      </c>
      <c r="G418" s="85" t="n"/>
      <c r="H418" s="44">
        <f>IF(OR(ISNUMBER(F418),ISNUMBER(G418)),N(F418)-N(G418),"")</f>
        <v/>
      </c>
      <c r="I418" s="142" t="inlineStr">
        <is>
          <t>Louver nan Z kèm LCCT</t>
        </is>
      </c>
      <c r="J418" s="117">
        <f>IF(OR(ISNUMBER(F418),ISNUMBER(G418)),IF(ISBLANK(G418),"⚠️ Chưa bóc tách định mức",IF(H418&gt;=0,"✅ OK - Cho phép đặt hàng","❌ CHẶN ĐẶT HÀNG - CẦN BẢO VỆ KL")),"")</f>
        <v/>
      </c>
      <c r="K418" s="138">
        <f>IF(OR(ISNUMBER(F418),ISNUMBER(G418)),IF(ISBLANK(G418),"Kỹ sư/Thầu phụ cần bóc tách KL bản vẽ",IF(H418&gt;=0,"Được đặt hàng tối đa "&amp;G418&amp;" "&amp;E418,"Vượt dự toán "&amp;ABS(H418)&amp;" "&amp;E418&amp;" (QS giải trình &amp; duyệt sửa BOQ)")),"")</f>
        <v/>
      </c>
    </row>
    <row r="419" ht="15.6" customHeight="1" s="75">
      <c r="A419" s="58" t="inlineStr">
        <is>
          <t>DHKK-B-III2.2.4</t>
        </is>
      </c>
      <c r="B419" s="24" t="n"/>
      <c r="C419" s="99" t="inlineStr">
        <is>
          <t>EAG 150x150+OBD</t>
        </is>
      </c>
      <c r="D419" s="61" t="inlineStr">
        <is>
          <t>Cái</t>
        </is>
      </c>
      <c r="E419" s="61" t="inlineStr">
        <is>
          <t>Cái</t>
        </is>
      </c>
      <c r="F419" s="88" t="n">
        <v>5</v>
      </c>
      <c r="G419" s="85" t="n"/>
      <c r="H419" s="42">
        <f>IF(OR(ISNUMBER(F419),ISNUMBER(G419)),N(F419)-N(G419),"")</f>
        <v/>
      </c>
      <c r="I419" s="142" t="inlineStr">
        <is>
          <t>Miệng gió loại nan bầu dục 1 lớp nan kèm OBD</t>
        </is>
      </c>
      <c r="J419" s="117">
        <f>IF(OR(ISNUMBER(F419),ISNUMBER(G419)),IF(ISBLANK(G419),"⚠️ Chưa bóc tách định mức",IF(H419&gt;=0,"✅ OK - Cho phép đặt hàng","❌ CHẶN ĐẶT HÀNG - CẦN BẢO VỆ KL")),"")</f>
        <v/>
      </c>
      <c r="K419" s="138">
        <f>IF(OR(ISNUMBER(F419),ISNUMBER(G419)),IF(ISBLANK(G419),"Kỹ sư/Thầu phụ cần bóc tách KL bản vẽ",IF(H419&gt;=0,"Được đặt hàng tối đa "&amp;G419&amp;" "&amp;E419,"Vượt dự toán "&amp;ABS(H419)&amp;" "&amp;E419&amp;" (QS giải trình &amp; duyệt sửa BOQ)")),"")</f>
        <v/>
      </c>
    </row>
    <row r="420" ht="15.6" customHeight="1" s="75">
      <c r="A420" s="58" t="inlineStr">
        <is>
          <t>DHKK-B-III2.2.5</t>
        </is>
      </c>
      <c r="B420" s="24" t="n"/>
      <c r="C420" s="99" t="inlineStr">
        <is>
          <t>SAG 150x150+OBD</t>
        </is>
      </c>
      <c r="D420" s="61" t="inlineStr">
        <is>
          <t>Cái</t>
        </is>
      </c>
      <c r="E420" s="61" t="inlineStr">
        <is>
          <t>Cái</t>
        </is>
      </c>
      <c r="F420" s="88" t="n">
        <v>3</v>
      </c>
      <c r="G420" s="85" t="n"/>
      <c r="H420" s="42">
        <f>IF(OR(ISNUMBER(F420),ISNUMBER(G420)),N(F420)-N(G420),"")</f>
        <v/>
      </c>
      <c r="I420" s="142" t="inlineStr">
        <is>
          <t>Miệng gió loại nan bầu dục 1 lớp nan kèm OBD</t>
        </is>
      </c>
      <c r="J420" s="117">
        <f>IF(OR(ISNUMBER(F420),ISNUMBER(G420)),IF(ISBLANK(G420),"⚠️ Chưa bóc tách định mức",IF(H420&gt;=0,"✅ OK - Cho phép đặt hàng","❌ CHẶN ĐẶT HÀNG - CẦN BẢO VỆ KL")),"")</f>
        <v/>
      </c>
      <c r="K420" s="138">
        <f>IF(OR(ISNUMBER(F420),ISNUMBER(G420)),IF(ISBLANK(G420),"Kỹ sư/Thầu phụ cần bóc tách KL bản vẽ",IF(H420&gt;=0,"Được đặt hàng tối đa "&amp;G420&amp;" "&amp;E420,"Vượt dự toán "&amp;ABS(H420)&amp;" "&amp;E420&amp;" (QS giải trình &amp; duyệt sửa BOQ)")),"")</f>
        <v/>
      </c>
    </row>
    <row r="421" ht="15.6" customHeight="1" s="75">
      <c r="A421" s="58" t="inlineStr">
        <is>
          <t>DHKK-B-III2.2.6</t>
        </is>
      </c>
      <c r="B421" s="24" t="n"/>
      <c r="C421" s="99" t="inlineStr">
        <is>
          <t>SAG 300x300+OBD</t>
        </is>
      </c>
      <c r="D421" s="61" t="inlineStr">
        <is>
          <t>Cái</t>
        </is>
      </c>
      <c r="E421" s="61" t="inlineStr">
        <is>
          <t>Cái</t>
        </is>
      </c>
      <c r="F421" s="88" t="n">
        <v>7</v>
      </c>
      <c r="G421" s="85" t="n"/>
      <c r="H421" s="42">
        <f>IF(OR(ISNUMBER(F421),ISNUMBER(G421)),N(F421)-N(G421),"")</f>
        <v/>
      </c>
      <c r="I421" s="142" t="inlineStr">
        <is>
          <t>Miệng gió loại nan bầu dục 1 lớp nan kèm OBD</t>
        </is>
      </c>
      <c r="J421" s="117">
        <f>IF(OR(ISNUMBER(F421),ISNUMBER(G421)),IF(ISBLANK(G421),"⚠️ Chưa bóc tách định mức",IF(H421&gt;=0,"✅ OK - Cho phép đặt hàng","❌ CHẶN ĐẶT HÀNG - CẦN BẢO VỆ KL")),"")</f>
        <v/>
      </c>
      <c r="K421" s="138">
        <f>IF(OR(ISNUMBER(F421),ISNUMBER(G421)),IF(ISBLANK(G421),"Kỹ sư/Thầu phụ cần bóc tách KL bản vẽ",IF(H421&gt;=0,"Được đặt hàng tối đa "&amp;G421&amp;" "&amp;E421,"Vượt dự toán "&amp;ABS(H421)&amp;" "&amp;E421&amp;" (QS giải trình &amp; duyệt sửa BOQ)")),"")</f>
        <v/>
      </c>
    </row>
    <row r="422" ht="13.8" customHeight="1" s="75">
      <c r="A422" s="80" t="n"/>
      <c r="B422" s="24" t="n"/>
      <c r="C422" s="101" t="n"/>
      <c r="D422" s="24" t="n"/>
      <c r="E422" s="24" t="n"/>
      <c r="F422" s="85" t="n"/>
      <c r="G422" s="85" t="n"/>
      <c r="H422" s="44" t="n"/>
      <c r="I422" s="137" t="n"/>
    </row>
    <row r="423" ht="15.6" customHeight="1" s="75">
      <c r="A423" s="58" t="inlineStr">
        <is>
          <t>DHKK-B-III2.3.0</t>
        </is>
      </c>
      <c r="B423" s="37" t="n">
        <v>3</v>
      </c>
      <c r="C423" s="98" t="inlineStr">
        <is>
          <t>Ống gió</t>
        </is>
      </c>
      <c r="D423" s="24" t="n"/>
      <c r="E423" s="24" t="n"/>
      <c r="F423" s="85" t="n"/>
      <c r="G423" s="85" t="n"/>
      <c r="H423" s="44" t="n"/>
      <c r="I423" s="137" t="n"/>
    </row>
    <row r="424" ht="15.6" customHeight="1" s="75">
      <c r="A424" s="58" t="inlineStr">
        <is>
          <t>DHKK-B-III2.3.1</t>
        </is>
      </c>
      <c r="B424" s="24" t="n"/>
      <c r="C424" s="99" t="inlineStr">
        <is>
          <t>Ống gió tole mạ kẽm dày 0.58mm</t>
        </is>
      </c>
      <c r="D424" s="61" t="inlineStr">
        <is>
          <t>m2</t>
        </is>
      </c>
      <c r="E424" s="61" t="inlineStr">
        <is>
          <t>m2</t>
        </is>
      </c>
      <c r="F424" s="88" t="n">
        <v>123</v>
      </c>
      <c r="G424" s="85" t="n"/>
      <c r="H424" s="42">
        <f>IF(OR(ISNUMBER(F424),ISNUMBER(G424)),N(F424)-N(G424),"")</f>
        <v/>
      </c>
      <c r="I424" s="137" t="n"/>
      <c r="J424" s="117">
        <f>IF(OR(ISNUMBER(F424),ISNUMBER(G424)),IF(ISBLANK(G424),"⚠️ Chưa bóc tách định mức",IF(H424&gt;=0,"✅ OK - Cho phép đặt hàng","❌ CHẶN ĐẶT HÀNG - CẦN BẢO VỆ KL")),"")</f>
        <v/>
      </c>
      <c r="K424" s="138">
        <f>IF(OR(ISNUMBER(F424),ISNUMBER(G424)),IF(ISBLANK(G424),"Kỹ sư/Thầu phụ cần bóc tách KL bản vẽ",IF(H424&gt;=0,"Được đặt hàng tối đa "&amp;G424&amp;" "&amp;E424,"Vượt dự toán "&amp;ABS(H424)&amp;" "&amp;E424&amp;" (QS giải trình &amp; duyệt sửa BOQ)")),"")</f>
        <v/>
      </c>
    </row>
    <row r="425" ht="15.6" customHeight="1" s="75">
      <c r="A425" s="58" t="inlineStr">
        <is>
          <t>DHKK-B-III2.3.2</t>
        </is>
      </c>
      <c r="B425" s="24" t="n"/>
      <c r="C425" s="99" t="inlineStr">
        <is>
          <t>Ống gió tole mạ kẽm dày 0.75mm</t>
        </is>
      </c>
      <c r="D425" s="61" t="inlineStr">
        <is>
          <t>m2</t>
        </is>
      </c>
      <c r="E425" s="61" t="inlineStr">
        <is>
          <t>m2</t>
        </is>
      </c>
      <c r="F425" s="88" t="n">
        <v>1</v>
      </c>
      <c r="G425" s="85" t="n"/>
      <c r="H425" s="42">
        <f>IF(OR(ISNUMBER(F425),ISNUMBER(G425)),N(F425)-N(G425),"")</f>
        <v/>
      </c>
      <c r="I425" s="137" t="n"/>
      <c r="J425" s="117">
        <f>IF(OR(ISNUMBER(F425),ISNUMBER(G425)),IF(ISBLANK(G425),"⚠️ Chưa bóc tách định mức",IF(H425&gt;=0,"✅ OK - Cho phép đặt hàng","❌ CHẶN ĐẶT HÀNG - CẦN BẢO VỆ KL")),"")</f>
        <v/>
      </c>
      <c r="K425" s="138">
        <f>IF(OR(ISNUMBER(F425),ISNUMBER(G425)),IF(ISBLANK(G425),"Kỹ sư/Thầu phụ cần bóc tách KL bản vẽ",IF(H425&gt;=0,"Được đặt hàng tối đa "&amp;G425&amp;" "&amp;E425,"Vượt dự toán "&amp;ABS(H425)&amp;" "&amp;E425&amp;" (QS giải trình &amp; duyệt sửa BOQ)")),"")</f>
        <v/>
      </c>
    </row>
    <row r="426" ht="15.6" customHeight="1" s="75">
      <c r="A426" s="58" t="inlineStr">
        <is>
          <t>DHKK-B-III2.3.3</t>
        </is>
      </c>
      <c r="B426" s="24" t="n"/>
      <c r="C426" s="99" t="inlineStr">
        <is>
          <t>Ống gió tole mạ kẽm dày 0.95mm</t>
        </is>
      </c>
      <c r="D426" s="61" t="inlineStr">
        <is>
          <t>m2</t>
        </is>
      </c>
      <c r="E426" s="61" t="inlineStr">
        <is>
          <t>m2</t>
        </is>
      </c>
      <c r="F426" s="88" t="n">
        <v>0</v>
      </c>
      <c r="G426" s="85" t="n"/>
      <c r="H426" s="44">
        <f>IF(OR(ISNUMBER(F426),ISNUMBER(G426)),N(F426)-N(G426),"")</f>
        <v/>
      </c>
      <c r="I426" s="137" t="n"/>
      <c r="J426" s="117">
        <f>IF(OR(ISNUMBER(F426),ISNUMBER(G426)),IF(ISBLANK(G426),"⚠️ Chưa bóc tách định mức",IF(H426&gt;=0,"✅ OK - Cho phép đặt hàng","❌ CHẶN ĐẶT HÀNG - CẦN BẢO VỆ KL")),"")</f>
        <v/>
      </c>
      <c r="K426" s="138">
        <f>IF(OR(ISNUMBER(F426),ISNUMBER(G426)),IF(ISBLANK(G426),"Kỹ sư/Thầu phụ cần bóc tách KL bản vẽ",IF(H426&gt;=0,"Được đặt hàng tối đa "&amp;G426&amp;" "&amp;E426,"Vượt dự toán "&amp;ABS(H426)&amp;" "&amp;E426&amp;" (QS giải trình &amp; duyệt sửa BOQ)")),"")</f>
        <v/>
      </c>
    </row>
    <row r="427" ht="15.6" customHeight="1" s="75">
      <c r="A427" s="58" t="inlineStr">
        <is>
          <t>DHKK-B-III2.3.4</t>
        </is>
      </c>
      <c r="B427" s="24" t="n"/>
      <c r="C427" s="99" t="inlineStr">
        <is>
          <t>Ống gió mềm không cách nhiệt D150</t>
        </is>
      </c>
      <c r="D427" s="61" t="inlineStr">
        <is>
          <t>m</t>
        </is>
      </c>
      <c r="E427" s="61" t="inlineStr">
        <is>
          <t>m</t>
        </is>
      </c>
      <c r="F427" s="88" t="n">
        <v>20</v>
      </c>
      <c r="G427" s="85" t="n"/>
      <c r="H427" s="42">
        <f>IF(OR(ISNUMBER(F427),ISNUMBER(G427)),N(F427)-N(G427),"")</f>
        <v/>
      </c>
      <c r="I427" s="137" t="n"/>
      <c r="J427" s="117">
        <f>IF(OR(ISNUMBER(F427),ISNUMBER(G427)),IF(ISBLANK(G427),"⚠️ Chưa bóc tách định mức",IF(H427&gt;=0,"✅ OK - Cho phép đặt hàng","❌ CHẶN ĐẶT HÀNG - CẦN BẢO VỆ KL")),"")</f>
        <v/>
      </c>
      <c r="K427" s="138">
        <f>IF(OR(ISNUMBER(F427),ISNUMBER(G427)),IF(ISBLANK(G427),"Kỹ sư/Thầu phụ cần bóc tách KL bản vẽ",IF(H427&gt;=0,"Được đặt hàng tối đa "&amp;G427&amp;" "&amp;E427,"Vượt dự toán "&amp;ABS(H427)&amp;" "&amp;E427&amp;" (QS giải trình &amp; duyệt sửa BOQ)")),"")</f>
        <v/>
      </c>
    </row>
    <row r="428" ht="15.6" customHeight="1" s="75">
      <c r="A428" s="58" t="inlineStr">
        <is>
          <t>DHKK-B-III2.3.5</t>
        </is>
      </c>
      <c r="B428" s="24" t="n"/>
      <c r="C428" s="99" t="inlineStr">
        <is>
          <t>Ống gió mềm không cách nhiệt D200</t>
        </is>
      </c>
      <c r="D428" s="61" t="inlineStr">
        <is>
          <t>m</t>
        </is>
      </c>
      <c r="E428" s="61" t="inlineStr">
        <is>
          <t>m</t>
        </is>
      </c>
      <c r="F428" s="88" t="n">
        <v>15</v>
      </c>
      <c r="G428" s="85" t="n"/>
      <c r="H428" s="42">
        <f>IF(OR(ISNUMBER(F428),ISNUMBER(G428)),N(F428)-N(G428),"")</f>
        <v/>
      </c>
      <c r="I428" s="137" t="n"/>
      <c r="J428" s="117">
        <f>IF(OR(ISNUMBER(F428),ISNUMBER(G428)),IF(ISBLANK(G428),"⚠️ Chưa bóc tách định mức",IF(H428&gt;=0,"✅ OK - Cho phép đặt hàng","❌ CHẶN ĐẶT HÀNG - CẦN BẢO VỆ KL")),"")</f>
        <v/>
      </c>
      <c r="K428" s="138">
        <f>IF(OR(ISNUMBER(F428),ISNUMBER(G428)),IF(ISBLANK(G428),"Kỹ sư/Thầu phụ cần bóc tách KL bản vẽ",IF(H428&gt;=0,"Được đặt hàng tối đa "&amp;G428&amp;" "&amp;E428,"Vượt dự toán "&amp;ABS(H428)&amp;" "&amp;E428&amp;" (QS giải trình &amp; duyệt sửa BOQ)")),"")</f>
        <v/>
      </c>
    </row>
    <row r="429" ht="15.6" customHeight="1" s="75">
      <c r="A429" s="58" t="inlineStr">
        <is>
          <t>DHKK-B-III2.3.6</t>
        </is>
      </c>
      <c r="B429" s="24" t="n"/>
      <c r="C429" s="99" t="inlineStr">
        <is>
          <t>Ống gió mềm không cách nhiệt D250</t>
        </is>
      </c>
      <c r="D429" s="61" t="inlineStr">
        <is>
          <t>m</t>
        </is>
      </c>
      <c r="E429" s="61" t="inlineStr">
        <is>
          <t>m</t>
        </is>
      </c>
      <c r="F429" s="88" t="n">
        <v>3</v>
      </c>
      <c r="G429" s="85" t="n"/>
      <c r="H429" s="42">
        <f>IF(OR(ISNUMBER(F429),ISNUMBER(G429)),N(F429)-N(G429),"")</f>
        <v/>
      </c>
      <c r="I429" s="137" t="n"/>
      <c r="J429" s="117">
        <f>IF(OR(ISNUMBER(F429),ISNUMBER(G429)),IF(ISBLANK(G429),"⚠️ Chưa bóc tách định mức",IF(H429&gt;=0,"✅ OK - Cho phép đặt hàng","❌ CHẶN ĐẶT HÀNG - CẦN BẢO VỆ KL")),"")</f>
        <v/>
      </c>
      <c r="K429" s="138">
        <f>IF(OR(ISNUMBER(F429),ISNUMBER(G429)),IF(ISBLANK(G429),"Kỹ sư/Thầu phụ cần bóc tách KL bản vẽ",IF(H429&gt;=0,"Được đặt hàng tối đa "&amp;G429&amp;" "&amp;E429,"Vượt dự toán "&amp;ABS(H429)&amp;" "&amp;E429&amp;" (QS giải trình &amp; duyệt sửa BOQ)")),"")</f>
        <v/>
      </c>
    </row>
    <row r="430" ht="13.8" customHeight="1" s="75">
      <c r="A430" s="80" t="n"/>
      <c r="B430" s="24" t="n"/>
      <c r="C430" s="101" t="n"/>
      <c r="D430" s="24" t="n"/>
      <c r="E430" s="24" t="n"/>
      <c r="F430" s="85" t="n"/>
      <c r="G430" s="85" t="n"/>
      <c r="H430" s="44" t="n"/>
      <c r="I430" s="137" t="n"/>
    </row>
    <row r="431" ht="28.8" customHeight="1" s="75">
      <c r="A431" s="58" t="inlineStr">
        <is>
          <t>DHKK-B-IV</t>
        </is>
      </c>
      <c r="B431" s="33" t="inlineStr">
        <is>
          <t>IV</t>
        </is>
      </c>
      <c r="C431" s="97" t="inlineStr">
        <is>
          <t>HỆ THỐNG ĐIỀU HÒA THÔNG GIÓ KHU SHOPHOUSE</t>
        </is>
      </c>
      <c r="D431" s="34" t="n"/>
      <c r="E431" s="34" t="n"/>
      <c r="F431" s="87" t="n"/>
      <c r="G431" s="87" t="n"/>
      <c r="H431" s="35" t="n"/>
      <c r="I431" s="144" t="n"/>
    </row>
    <row r="432" ht="15.6" customHeight="1" s="75">
      <c r="A432" s="58" t="inlineStr">
        <is>
          <t>DHKK-B-IV1.0</t>
        </is>
      </c>
      <c r="B432" s="54" t="inlineStr">
        <is>
          <t>IV.1</t>
        </is>
      </c>
      <c r="C432" s="104" t="inlineStr">
        <is>
          <t>PHẦN ĐIỀU HÒA</t>
        </is>
      </c>
      <c r="D432" s="55" t="n"/>
      <c r="E432" s="55" t="n"/>
      <c r="F432" s="89" t="n"/>
      <c r="G432" s="89" t="n"/>
      <c r="H432" s="56" t="n"/>
      <c r="I432" s="149" t="n"/>
    </row>
    <row r="433" ht="15.6" customHeight="1" s="75">
      <c r="A433" s="58" t="inlineStr">
        <is>
          <t>DHKK-B-IV1.1</t>
        </is>
      </c>
      <c r="B433" s="37" t="n">
        <v>1</v>
      </c>
      <c r="C433" s="98" t="inlineStr">
        <is>
          <t>Thiết bị máy lạnh</t>
        </is>
      </c>
      <c r="D433" s="24" t="n"/>
      <c r="E433" s="24" t="n"/>
      <c r="F433" s="85" t="n"/>
      <c r="G433" s="85" t="n"/>
      <c r="H433" s="44" t="n"/>
      <c r="I433" s="137" t="n"/>
    </row>
    <row r="434" ht="13.8" customHeight="1" s="75">
      <c r="A434" s="80" t="n"/>
      <c r="B434" s="24" t="n"/>
      <c r="C434" s="101" t="n"/>
      <c r="D434" s="24" t="n"/>
      <c r="E434" s="24" t="n"/>
      <c r="F434" s="85" t="n"/>
      <c r="G434" s="85" t="n"/>
      <c r="H434" s="44" t="n"/>
      <c r="I434" s="137" t="n"/>
    </row>
    <row r="435" ht="15.6" customHeight="1" s="75">
      <c r="A435" s="58" t="inlineStr">
        <is>
          <t>DHKK-B-IV1.2.00</t>
        </is>
      </c>
      <c r="B435" s="37" t="n">
        <v>2</v>
      </c>
      <c r="C435" s="98" t="inlineStr">
        <is>
          <t>Ống đồng và phụ kiện</t>
        </is>
      </c>
      <c r="D435" s="24" t="n"/>
      <c r="E435" s="24" t="n"/>
      <c r="F435" s="85" t="n"/>
      <c r="G435" s="85" t="n"/>
      <c r="H435" s="44" t="n"/>
      <c r="I435" s="137" t="n"/>
    </row>
    <row r="436" ht="15.6" customHeight="1" s="75">
      <c r="A436" s="58" t="inlineStr">
        <is>
          <t>DHKK-B-IV1.2.1.0</t>
        </is>
      </c>
      <c r="B436" s="37" t="n">
        <v>2.1</v>
      </c>
      <c r="C436" s="98" t="inlineStr">
        <is>
          <t>Ống đồng</t>
        </is>
      </c>
      <c r="D436" s="24" t="n"/>
      <c r="E436" s="24" t="n"/>
      <c r="F436" s="85" t="n"/>
      <c r="G436" s="85" t="n"/>
      <c r="H436" s="44" t="n"/>
      <c r="I436" s="137" t="n"/>
    </row>
    <row r="437" ht="15.6" customHeight="1" s="75">
      <c r="A437" s="58" t="inlineStr">
        <is>
          <t>DHKK-B-IV1.2.1.1</t>
        </is>
      </c>
      <c r="B437" s="24" t="n"/>
      <c r="C437" s="99" t="inlineStr">
        <is>
          <t>Ống đồng Ø6.4 dày 0.76mm</t>
        </is>
      </c>
      <c r="D437" s="61" t="inlineStr">
        <is>
          <t>m</t>
        </is>
      </c>
      <c r="E437" s="61" t="inlineStr">
        <is>
          <t>m</t>
        </is>
      </c>
      <c r="F437" s="88" t="n">
        <v>1703</v>
      </c>
      <c r="G437" s="85" t="n">
        <v>526</v>
      </c>
      <c r="H437" s="42">
        <f>IF(OR(ISNUMBER(F437),ISNUMBER(G437)),N(F437)-N(G437),"")</f>
        <v/>
      </c>
      <c r="I437" s="137" t="n"/>
      <c r="J437" s="117">
        <f>IF(OR(ISNUMBER(F437),ISNUMBER(G437)),IF(ISBLANK(G437),"⚠️ Chưa bóc tách định mức",IF(H437&gt;=0,"✅ OK - Cho phép đặt hàng","❌ CHẶN ĐẶT HÀNG - CẦN BẢO VỆ KL")),"")</f>
        <v/>
      </c>
      <c r="K437" s="138">
        <f>IF(OR(ISNUMBER(F437),ISNUMBER(G437)),IF(ISBLANK(G437),"Kỹ sư/Thầu phụ cần bóc tách KL bản vẽ",IF(H437&gt;=0,"Được đặt hàng tối đa "&amp;G437&amp;" "&amp;E437,"Vượt dự toán "&amp;ABS(H437)&amp;" "&amp;E437&amp;" (QS giải trình &amp; duyệt sửa BOQ)")),"")</f>
        <v/>
      </c>
    </row>
    <row r="438" ht="15.6" customHeight="1" s="75">
      <c r="A438" s="58" t="inlineStr">
        <is>
          <t>DHKK-B-IV1.2.1.2</t>
        </is>
      </c>
      <c r="B438" s="24" t="n"/>
      <c r="C438" s="99" t="inlineStr">
        <is>
          <t>Ống đồng Ø9.5 dày 0.81mm</t>
        </is>
      </c>
      <c r="D438" s="61" t="inlineStr">
        <is>
          <t>m</t>
        </is>
      </c>
      <c r="E438" s="61" t="inlineStr">
        <is>
          <t>m</t>
        </is>
      </c>
      <c r="F438" s="88" t="n">
        <v>970</v>
      </c>
      <c r="G438" s="85" t="n">
        <v>624</v>
      </c>
      <c r="H438" s="42">
        <f>IF(OR(ISNUMBER(F438),ISNUMBER(G438)),N(F438)-N(G438),"")</f>
        <v/>
      </c>
      <c r="I438" s="137" t="n"/>
      <c r="J438" s="117">
        <f>IF(OR(ISNUMBER(F438),ISNUMBER(G438)),IF(ISBLANK(G438),"⚠️ Chưa bóc tách định mức",IF(H438&gt;=0,"✅ OK - Cho phép đặt hàng","❌ CHẶN ĐẶT HÀNG - CẦN BẢO VỆ KL")),"")</f>
        <v/>
      </c>
      <c r="K438" s="138">
        <f>IF(OR(ISNUMBER(F438),ISNUMBER(G438)),IF(ISBLANK(G438),"Kỹ sư/Thầu phụ cần bóc tách KL bản vẽ",IF(H438&gt;=0,"Được đặt hàng tối đa "&amp;G438&amp;" "&amp;E438,"Vượt dự toán "&amp;ABS(H438)&amp;" "&amp;E438&amp;" (QS giải trình &amp; duyệt sửa BOQ)")),"")</f>
        <v/>
      </c>
    </row>
    <row r="439" ht="15.6" customHeight="1" s="75">
      <c r="A439" s="58" t="inlineStr">
        <is>
          <t>DHKK-B-IV1.2.1.3</t>
        </is>
      </c>
      <c r="B439" s="24" t="n"/>
      <c r="C439" s="99" t="inlineStr">
        <is>
          <t>Ống đồng Ø12.7 dày 0.81mm</t>
        </is>
      </c>
      <c r="D439" s="61" t="inlineStr">
        <is>
          <t>m</t>
        </is>
      </c>
      <c r="E439" s="61" t="inlineStr">
        <is>
          <t>m</t>
        </is>
      </c>
      <c r="F439" s="88" t="n">
        <v>732</v>
      </c>
      <c r="G439" s="85" t="n">
        <v>206</v>
      </c>
      <c r="H439" s="42">
        <f>IF(OR(ISNUMBER(F439),ISNUMBER(G439)),N(F439)-N(G439),"")</f>
        <v/>
      </c>
      <c r="I439" s="137" t="n"/>
      <c r="J439" s="117">
        <f>IF(OR(ISNUMBER(F439),ISNUMBER(G439)),IF(ISBLANK(G439),"⚠️ Chưa bóc tách định mức",IF(H439&gt;=0,"✅ OK - Cho phép đặt hàng","❌ CHẶN ĐẶT HÀNG - CẦN BẢO VỆ KL")),"")</f>
        <v/>
      </c>
      <c r="K439" s="138">
        <f>IF(OR(ISNUMBER(F439),ISNUMBER(G439)),IF(ISBLANK(G439),"Kỹ sư/Thầu phụ cần bóc tách KL bản vẽ",IF(H439&gt;=0,"Được đặt hàng tối đa "&amp;G439&amp;" "&amp;E439,"Vượt dự toán "&amp;ABS(H439)&amp;" "&amp;E439&amp;" (QS giải trình &amp; duyệt sửa BOQ)")),"")</f>
        <v/>
      </c>
    </row>
    <row r="440" ht="13.8" customHeight="1" s="75">
      <c r="A440" s="59" t="n"/>
      <c r="B440" s="24" t="n"/>
      <c r="C440" s="101" t="n"/>
      <c r="D440" s="24" t="n"/>
      <c r="E440" s="24" t="n"/>
      <c r="F440" s="85" t="n"/>
      <c r="G440" s="85" t="n"/>
      <c r="H440" s="44" t="n"/>
      <c r="I440" s="137" t="n"/>
    </row>
    <row r="441" ht="15.6" customHeight="1" s="75">
      <c r="A441" s="58" t="inlineStr">
        <is>
          <t>DHKK-B-IV1.2.22</t>
        </is>
      </c>
      <c r="B441" s="37" t="n">
        <v>2.2</v>
      </c>
      <c r="C441" s="98" t="inlineStr">
        <is>
          <t>Cách nhiệt ống đồng</t>
        </is>
      </c>
      <c r="D441" s="24" t="n"/>
      <c r="E441" s="24" t="n"/>
      <c r="F441" s="85" t="n"/>
      <c r="G441" s="85" t="n"/>
      <c r="H441" s="44" t="n"/>
      <c r="I441" s="137" t="n"/>
    </row>
    <row r="442" ht="15.6" customHeight="1" s="75">
      <c r="A442" s="58" t="inlineStr">
        <is>
          <t>DHKK-B-IV1.2.1</t>
        </is>
      </c>
      <c r="B442" s="24" t="n"/>
      <c r="C442" s="99" t="inlineStr">
        <is>
          <t>Bảo ôn ống đồng Ø6.4 dày 13mm</t>
        </is>
      </c>
      <c r="D442" s="61" t="inlineStr">
        <is>
          <t>m</t>
        </is>
      </c>
      <c r="E442" s="61" t="inlineStr">
        <is>
          <t>m</t>
        </is>
      </c>
      <c r="F442" s="88" t="n">
        <v>1703</v>
      </c>
      <c r="G442" s="85" t="n">
        <v>526</v>
      </c>
      <c r="H442" s="42">
        <f>IF(OR(ISNUMBER(F442),ISNUMBER(G442)),N(F442)-N(G442),"")</f>
        <v/>
      </c>
      <c r="I442" s="137" t="n"/>
      <c r="J442" s="117">
        <f>IF(OR(ISNUMBER(F442),ISNUMBER(G442)),IF(ISBLANK(G442),"⚠️ Chưa bóc tách định mức",IF(H442&gt;=0,"✅ OK - Cho phép đặt hàng","❌ CHẶN ĐẶT HÀNG - CẦN BẢO VỆ KL")),"")</f>
        <v/>
      </c>
      <c r="K442" s="138">
        <f>IF(OR(ISNUMBER(F442),ISNUMBER(G442)),IF(ISBLANK(G442),"Kỹ sư/Thầu phụ cần bóc tách KL bản vẽ",IF(H442&gt;=0,"Được đặt hàng tối đa "&amp;G442&amp;" "&amp;E442,"Vượt dự toán "&amp;ABS(H442)&amp;" "&amp;E442&amp;" (QS giải trình &amp; duyệt sửa BOQ)")),"")</f>
        <v/>
      </c>
    </row>
    <row r="443" ht="15.6" customHeight="1" s="75">
      <c r="A443" s="58" t="inlineStr">
        <is>
          <t>DHKK-B-IV1.2.2</t>
        </is>
      </c>
      <c r="B443" s="24" t="n"/>
      <c r="C443" s="99" t="inlineStr">
        <is>
          <t>Bảo ôn ống đồng Ø9.5 dày 13mm</t>
        </is>
      </c>
      <c r="D443" s="61" t="inlineStr">
        <is>
          <t>m</t>
        </is>
      </c>
      <c r="E443" s="61" t="inlineStr">
        <is>
          <t>m</t>
        </is>
      </c>
      <c r="F443" s="88" t="n">
        <v>970</v>
      </c>
      <c r="G443" s="85" t="n">
        <v>624</v>
      </c>
      <c r="H443" s="42">
        <f>IF(OR(ISNUMBER(F443),ISNUMBER(G443)),N(F443)-N(G443),"")</f>
        <v/>
      </c>
      <c r="I443" s="137" t="n"/>
      <c r="J443" s="117">
        <f>IF(OR(ISNUMBER(F443),ISNUMBER(G443)),IF(ISBLANK(G443),"⚠️ Chưa bóc tách định mức",IF(H443&gt;=0,"✅ OK - Cho phép đặt hàng","❌ CHẶN ĐẶT HÀNG - CẦN BẢO VỆ KL")),"")</f>
        <v/>
      </c>
      <c r="K443" s="138">
        <f>IF(OR(ISNUMBER(F443),ISNUMBER(G443)),IF(ISBLANK(G443),"Kỹ sư/Thầu phụ cần bóc tách KL bản vẽ",IF(H443&gt;=0,"Được đặt hàng tối đa "&amp;G443&amp;" "&amp;E443,"Vượt dự toán "&amp;ABS(H443)&amp;" "&amp;E443&amp;" (QS giải trình &amp; duyệt sửa BOQ)")),"")</f>
        <v/>
      </c>
    </row>
    <row r="444" ht="15.6" customHeight="1" s="75">
      <c r="A444" s="58" t="inlineStr">
        <is>
          <t>DHKK-B-IV1.2.3</t>
        </is>
      </c>
      <c r="B444" s="24" t="n"/>
      <c r="C444" s="99" t="inlineStr">
        <is>
          <t>Bảo ôn ống đồng Ø12.7 dày 13mm</t>
        </is>
      </c>
      <c r="D444" s="61" t="inlineStr">
        <is>
          <t>m</t>
        </is>
      </c>
      <c r="E444" s="61" t="inlineStr">
        <is>
          <t>m</t>
        </is>
      </c>
      <c r="F444" s="88" t="n">
        <v>732</v>
      </c>
      <c r="G444" s="85" t="n">
        <v>206</v>
      </c>
      <c r="H444" s="42">
        <f>IF(OR(ISNUMBER(F444),ISNUMBER(G444)),N(F444)-N(G444),"")</f>
        <v/>
      </c>
      <c r="I444" s="137" t="n"/>
      <c r="J444" s="117">
        <f>IF(OR(ISNUMBER(F444),ISNUMBER(G444)),IF(ISBLANK(G444),"⚠️ Chưa bóc tách định mức",IF(H444&gt;=0,"✅ OK - Cho phép đặt hàng","❌ CHẶN ĐẶT HÀNG - CẦN BẢO VỆ KL")),"")</f>
        <v/>
      </c>
      <c r="K444" s="138">
        <f>IF(OR(ISNUMBER(F444),ISNUMBER(G444)),IF(ISBLANK(G444),"Kỹ sư/Thầu phụ cần bóc tách KL bản vẽ",IF(H444&gt;=0,"Được đặt hàng tối đa "&amp;G444&amp;" "&amp;E444,"Vượt dự toán "&amp;ABS(H444)&amp;" "&amp;E444&amp;" (QS giải trình &amp; duyệt sửa BOQ)")),"")</f>
        <v/>
      </c>
    </row>
    <row r="445" ht="13.8" customHeight="1" s="75">
      <c r="A445" s="80" t="n"/>
      <c r="B445" s="24" t="n"/>
      <c r="C445" s="101" t="n"/>
      <c r="D445" s="24" t="n"/>
      <c r="E445" s="24" t="n"/>
      <c r="F445" s="85" t="n"/>
      <c r="G445" s="85" t="n"/>
      <c r="H445" s="44" t="n"/>
      <c r="I445" s="137" t="n"/>
    </row>
    <row r="446" ht="15.6" customHeight="1" s="75">
      <c r="A446" s="58" t="inlineStr">
        <is>
          <t>DHKK-B-IV1.3.00</t>
        </is>
      </c>
      <c r="B446" s="37" t="n">
        <v>3</v>
      </c>
      <c r="C446" s="98" t="inlineStr">
        <is>
          <t>Ống nước ngưng và phụ kiện</t>
        </is>
      </c>
      <c r="D446" s="24" t="n"/>
      <c r="E446" s="24" t="n"/>
      <c r="F446" s="85" t="n"/>
      <c r="G446" s="85" t="n"/>
      <c r="H446" s="44" t="n"/>
      <c r="I446" s="137" t="n"/>
    </row>
    <row r="447" ht="15.6" customHeight="1" s="75">
      <c r="A447" s="58" t="inlineStr">
        <is>
          <t>DHKK-B-IV1.3.1.0</t>
        </is>
      </c>
      <c r="B447" s="37" t="n">
        <v>3.1</v>
      </c>
      <c r="C447" s="98" t="inlineStr">
        <is>
          <t>Ống nước ngưng</t>
        </is>
      </c>
      <c r="D447" s="24" t="n"/>
      <c r="E447" s="24" t="n"/>
      <c r="F447" s="85" t="n"/>
      <c r="G447" s="85" t="n"/>
      <c r="H447" s="44" t="n"/>
      <c r="I447" s="137" t="n"/>
    </row>
    <row r="448" ht="15.6" customHeight="1" s="75">
      <c r="A448" s="58" t="inlineStr">
        <is>
          <t>DHKK-B-IV1.3.1.1</t>
        </is>
      </c>
      <c r="B448" s="24" t="n"/>
      <c r="C448" s="99" t="inlineStr">
        <is>
          <t>Ống thoát nước ngưng uPVC Ø21</t>
        </is>
      </c>
      <c r="D448" s="61" t="inlineStr">
        <is>
          <t>m</t>
        </is>
      </c>
      <c r="E448" s="61" t="inlineStr">
        <is>
          <t>m</t>
        </is>
      </c>
      <c r="F448" s="88" t="n">
        <v>760</v>
      </c>
      <c r="G448" s="85" t="n"/>
      <c r="H448" s="42">
        <f>IF(OR(ISNUMBER(F448),ISNUMBER(G448)),N(F448)-N(G448),"")</f>
        <v/>
      </c>
      <c r="I448" s="137" t="n"/>
      <c r="J448" s="117">
        <f>IF(OR(ISNUMBER(F448),ISNUMBER(G448)),IF(ISBLANK(G448),"⚠️ Chưa bóc tách định mức",IF(H448&gt;=0,"✅ OK - Cho phép đặt hàng","❌ CHẶN ĐẶT HÀNG - CẦN BẢO VỆ KL")),"")</f>
        <v/>
      </c>
      <c r="K448" s="138">
        <f>IF(OR(ISNUMBER(F448),ISNUMBER(G448)),IF(ISBLANK(G448),"Kỹ sư/Thầu phụ cần bóc tách KL bản vẽ",IF(H448&gt;=0,"Được đặt hàng tối đa "&amp;G448&amp;" "&amp;E448,"Vượt dự toán "&amp;ABS(H448)&amp;" "&amp;E448&amp;" (QS giải trình &amp; duyệt sửa BOQ)")),"")</f>
        <v/>
      </c>
    </row>
    <row r="449" ht="15.6" customHeight="1" s="75">
      <c r="A449" s="58" t="inlineStr">
        <is>
          <t>DHKK-B-IV1.3.1.2</t>
        </is>
      </c>
      <c r="B449" s="24" t="n"/>
      <c r="C449" s="100" t="inlineStr">
        <is>
          <t>Phụ kiện ống uPVC 1</t>
        </is>
      </c>
      <c r="D449" s="61" t="inlineStr">
        <is>
          <t>Lô</t>
        </is>
      </c>
      <c r="E449" s="61" t="inlineStr">
        <is>
          <t>Lô</t>
        </is>
      </c>
      <c r="F449" s="88" t="n">
        <v>1</v>
      </c>
      <c r="G449" s="85" t="n"/>
      <c r="H449" s="42">
        <f>IF(OR(ISNUMBER(F449),ISNUMBER(G449)),N(F449)-N(G449),"")</f>
        <v/>
      </c>
      <c r="I449" s="137" t="n"/>
      <c r="J449" s="117">
        <f>IF(OR(ISNUMBER(F449),ISNUMBER(G449)),IF(ISBLANK(G449),"⚠️ Chưa bóc tách định mức",IF(H449&gt;=0,"✅ OK - Cho phép đặt hàng","❌ CHẶN ĐẶT HÀNG - CẦN BẢO VỆ KL")),"")</f>
        <v/>
      </c>
      <c r="K449" s="138">
        <f>IF(OR(ISNUMBER(F449),ISNUMBER(G449)),IF(ISBLANK(G449),"Kỹ sư/Thầu phụ cần bóc tách KL bản vẽ",IF(H449&gt;=0,"Được đặt hàng tối đa "&amp;G449&amp;" "&amp;E449,"Vượt dự toán "&amp;ABS(H449)&amp;" "&amp;E449&amp;" (QS giải trình &amp; duyệt sửa BOQ)")),"")</f>
        <v/>
      </c>
    </row>
    <row r="450" ht="15.6" customHeight="1" s="75">
      <c r="A450" s="58" t="inlineStr">
        <is>
          <t>DHKK-B-IV1.3.1.3</t>
        </is>
      </c>
      <c r="B450" s="24" t="n"/>
      <c r="C450" s="100" t="inlineStr">
        <is>
          <t>Phụ kiện ống uPVC 2</t>
        </is>
      </c>
      <c r="D450" s="61" t="inlineStr">
        <is>
          <t>Lô</t>
        </is>
      </c>
      <c r="E450" s="61" t="inlineStr">
        <is>
          <t>Lô</t>
        </is>
      </c>
      <c r="F450" s="88" t="n">
        <v>0</v>
      </c>
      <c r="G450" s="85" t="n"/>
      <c r="H450" s="44">
        <f>IF(OR(ISNUMBER(F450),ISNUMBER(G450)),N(F450)-N(G450),"")</f>
        <v/>
      </c>
      <c r="I450" s="137" t="n"/>
      <c r="J450" s="117">
        <f>IF(OR(ISNUMBER(F450),ISNUMBER(G450)),IF(ISBLANK(G450),"⚠️ Chưa bóc tách định mức",IF(H450&gt;=0,"✅ OK - Cho phép đặt hàng","❌ CHẶN ĐẶT HÀNG - CẦN BẢO VỆ KL")),"")</f>
        <v/>
      </c>
      <c r="K450" s="138">
        <f>IF(OR(ISNUMBER(F450),ISNUMBER(G450)),IF(ISBLANK(G450),"Kỹ sư/Thầu phụ cần bóc tách KL bản vẽ",IF(H450&gt;=0,"Được đặt hàng tối đa "&amp;G450&amp;" "&amp;E450,"Vượt dự toán "&amp;ABS(H450)&amp;" "&amp;E450&amp;" (QS giải trình &amp; duyệt sửa BOQ)")),"")</f>
        <v/>
      </c>
    </row>
    <row r="451" ht="13.8" customHeight="1" s="75">
      <c r="A451" s="80" t="n"/>
      <c r="B451" s="24" t="n"/>
      <c r="C451" s="101" t="n"/>
      <c r="D451" s="24" t="n"/>
      <c r="E451" s="24" t="n"/>
      <c r="F451" s="85" t="n"/>
      <c r="G451" s="85" t="n"/>
      <c r="H451" s="44" t="n"/>
      <c r="I451" s="137" t="n"/>
    </row>
    <row r="452" ht="15.6" customHeight="1" s="75">
      <c r="A452" s="58" t="inlineStr">
        <is>
          <t>DHKK-B-IV1.3.2.0</t>
        </is>
      </c>
      <c r="B452" s="37" t="n">
        <v>3.2</v>
      </c>
      <c r="C452" s="98" t="inlineStr">
        <is>
          <t>Cách nhiệt ống nước ngưng</t>
        </is>
      </c>
      <c r="D452" s="24" t="n"/>
      <c r="E452" s="24" t="n"/>
      <c r="F452" s="85" t="n"/>
      <c r="G452" s="85" t="n"/>
      <c r="H452" s="44" t="n"/>
      <c r="I452" s="137" t="n"/>
    </row>
    <row r="453" ht="15.6" customHeight="1" s="75">
      <c r="A453" s="58" t="inlineStr">
        <is>
          <t>DHKK-B-IV1.3.2.1</t>
        </is>
      </c>
      <c r="B453" s="24" t="n"/>
      <c r="C453" s="99" t="inlineStr">
        <is>
          <t>Bảo ôn ống nước ngưng Ø21 dày 9mm</t>
        </is>
      </c>
      <c r="D453" s="61" t="inlineStr">
        <is>
          <t>m</t>
        </is>
      </c>
      <c r="E453" s="61" t="inlineStr">
        <is>
          <t>m</t>
        </is>
      </c>
      <c r="F453" s="88" t="n">
        <v>0</v>
      </c>
      <c r="G453" s="85" t="n">
        <v>212</v>
      </c>
      <c r="H453" s="42">
        <f>IF(OR(ISNUMBER(F453),ISNUMBER(G453)),N(F453)-N(G453),"")</f>
        <v/>
      </c>
      <c r="I453" s="137" t="n"/>
      <c r="J453" s="117">
        <f>IF(OR(ISNUMBER(F453),ISNUMBER(G453)),IF(ISBLANK(G453),"⚠️ Chưa bóc tách định mức",IF(H453&gt;=0,"✅ OK - Cho phép đặt hàng","❌ CHẶN ĐẶT HÀNG - CẦN BẢO VỆ KL")),"")</f>
        <v/>
      </c>
      <c r="K453" s="138">
        <f>IF(OR(ISNUMBER(F453),ISNUMBER(G453)),IF(ISBLANK(G453),"Kỹ sư/Thầu phụ cần bóc tách KL bản vẽ",IF(H453&gt;=0,"Được đặt hàng tối đa "&amp;G453&amp;" "&amp;E453,"Vượt dự toán "&amp;ABS(H453)&amp;" "&amp;E453&amp;" (QS giải trình &amp; duyệt sửa BOQ)")),"")</f>
        <v/>
      </c>
    </row>
    <row r="454" ht="15.6" customHeight="1" s="75">
      <c r="A454" s="58" t="inlineStr">
        <is>
          <t>DHKK-B-IV1.3.2.2</t>
        </is>
      </c>
      <c r="B454" s="24" t="n"/>
      <c r="C454" s="99" t="inlineStr">
        <is>
          <t>Bảo ôn ống nước ngưng Ø21 dày 13mm</t>
        </is>
      </c>
      <c r="D454" s="24" t="n"/>
      <c r="E454" s="24" t="n"/>
      <c r="F454" s="88" t="n">
        <v>760</v>
      </c>
      <c r="G454" s="85" t="n">
        <v>215</v>
      </c>
      <c r="H454" s="44">
        <f>IF(OR(ISNUMBER(F454),ISNUMBER(G454)),N(F454)-N(G454),"")</f>
        <v/>
      </c>
      <c r="I454" s="137" t="n"/>
      <c r="J454" s="117">
        <f>IF(OR(ISNUMBER(F454),ISNUMBER(G454)),IF(ISBLANK(G454),"⚠️ Chưa bóc tách định mức",IF(H454&gt;=0,"✅ OK - Cho phép đặt hàng","❌ CHẶN ĐẶT HÀNG - CẦN BẢO VỆ KL")),"")</f>
        <v/>
      </c>
      <c r="K454" s="138">
        <f>IF(OR(ISNUMBER(F454),ISNUMBER(G454)),IF(ISBLANK(G454),"Kỹ sư/Thầu phụ cần bóc tách KL bản vẽ",IF(H454&gt;=0,"Được đặt hàng tối đa "&amp;G454&amp;" "&amp;E454,"Vượt dự toán "&amp;ABS(H454)&amp;" "&amp;E454&amp;" (QS giải trình &amp; duyệt sửa BOQ)")),"")</f>
        <v/>
      </c>
    </row>
    <row r="455" ht="15.6" customHeight="1" s="75">
      <c r="A455" s="58" t="inlineStr">
        <is>
          <t>DHKK-B-IV1.4.0</t>
        </is>
      </c>
      <c r="B455" s="37" t="n">
        <v>4</v>
      </c>
      <c r="C455" s="98" t="inlineStr">
        <is>
          <t>Phần điều khiển</t>
        </is>
      </c>
      <c r="D455" s="24" t="n"/>
      <c r="E455" s="24" t="n"/>
      <c r="F455" s="85" t="n"/>
      <c r="G455" s="85" t="n"/>
      <c r="H455" s="44" t="n"/>
      <c r="I455" s="137" t="n"/>
    </row>
    <row r="456" ht="15.6" customHeight="1" s="75">
      <c r="A456" s="58" t="inlineStr">
        <is>
          <t>DHKK-B-IV1.4.1</t>
        </is>
      </c>
      <c r="B456" s="24" t="n"/>
      <c r="C456" s="99" t="inlineStr">
        <is>
          <t>4Cx1.5mm2 Cu/PVC</t>
        </is>
      </c>
      <c r="D456" s="61" t="inlineStr">
        <is>
          <t>m</t>
        </is>
      </c>
      <c r="E456" s="61" t="inlineStr">
        <is>
          <t>m</t>
        </is>
      </c>
      <c r="F456" s="88" t="n">
        <v>1703</v>
      </c>
      <c r="G456" s="85" t="n"/>
      <c r="H456" s="42">
        <f>IF(OR(ISNUMBER(F456),ISNUMBER(G456)),N(F456)-N(G456),"")</f>
        <v/>
      </c>
      <c r="I456" s="137" t="n"/>
      <c r="J456" s="117">
        <f>IF(OR(ISNUMBER(F456),ISNUMBER(G456)),IF(ISBLANK(G456),"⚠️ Chưa bóc tách định mức",IF(H456&gt;=0,"✅ OK - Cho phép đặt hàng","❌ CHẶN ĐẶT HÀNG - CẦN BẢO VỆ KL")),"")</f>
        <v/>
      </c>
      <c r="K456" s="138">
        <f>IF(OR(ISNUMBER(F456),ISNUMBER(G456)),IF(ISBLANK(G456),"Kỹ sư/Thầu phụ cần bóc tách KL bản vẽ",IF(H456&gt;=0,"Được đặt hàng tối đa "&amp;G456&amp;" "&amp;E456,"Vượt dự toán "&amp;ABS(H456)&amp;" "&amp;E456&amp;" (QS giải trình &amp; duyệt sửa BOQ)")),"")</f>
        <v/>
      </c>
    </row>
    <row r="457" ht="15.6" customHeight="1" s="75">
      <c r="A457" s="58" t="inlineStr">
        <is>
          <t>DHKK-B-IV1.4.2</t>
        </is>
      </c>
      <c r="B457" s="24" t="n"/>
      <c r="C457" s="99" t="inlineStr">
        <is>
          <t>Ống ruột gà D20</t>
        </is>
      </c>
      <c r="D457" s="61" t="inlineStr">
        <is>
          <t>m</t>
        </is>
      </c>
      <c r="E457" s="61" t="inlineStr">
        <is>
          <t>m</t>
        </is>
      </c>
      <c r="F457" s="88" t="n">
        <v>1703</v>
      </c>
      <c r="G457" s="85" t="n"/>
      <c r="H457" s="42">
        <f>IF(OR(ISNUMBER(F457),ISNUMBER(G457)),N(F457)-N(G457),"")</f>
        <v/>
      </c>
      <c r="I457" s="137" t="n"/>
      <c r="J457" s="117">
        <f>IF(OR(ISNUMBER(F457),ISNUMBER(G457)),IF(ISBLANK(G457),"⚠️ Chưa bóc tách định mức",IF(H457&gt;=0,"✅ OK - Cho phép đặt hàng","❌ CHẶN ĐẶT HÀNG - CẦN BẢO VỆ KL")),"")</f>
        <v/>
      </c>
      <c r="K457" s="138">
        <f>IF(OR(ISNUMBER(F457),ISNUMBER(G457)),IF(ISBLANK(G457),"Kỹ sư/Thầu phụ cần bóc tách KL bản vẽ",IF(H457&gt;=0,"Được đặt hàng tối đa "&amp;G457&amp;" "&amp;E457,"Vượt dự toán "&amp;ABS(H457)&amp;" "&amp;E457&amp;" (QS giải trình &amp; duyệt sửa BOQ)")),"")</f>
        <v/>
      </c>
    </row>
    <row r="458" ht="13.8" customHeight="1" s="75">
      <c r="A458" s="80" t="n"/>
      <c r="B458" s="24" t="n"/>
      <c r="C458" s="101" t="n"/>
      <c r="D458" s="24" t="n"/>
      <c r="E458" s="24" t="n"/>
      <c r="F458" s="85" t="n"/>
      <c r="G458" s="85" t="n"/>
      <c r="H458" s="44" t="n"/>
      <c r="I458" s="137" t="n"/>
    </row>
    <row r="459" ht="15.6" customHeight="1" s="75">
      <c r="A459" s="58" t="inlineStr">
        <is>
          <t>DHKK-B-IV2</t>
        </is>
      </c>
      <c r="B459" s="54" t="inlineStr">
        <is>
          <t>IV.2</t>
        </is>
      </c>
      <c r="C459" s="104" t="inlineStr">
        <is>
          <t>PHẦN HÚT KHÍ THẢI WC, BẾP</t>
        </is>
      </c>
      <c r="D459" s="55" t="n"/>
      <c r="E459" s="55" t="n"/>
      <c r="F459" s="89" t="n"/>
      <c r="G459" s="89" t="n"/>
      <c r="H459" s="56" t="n"/>
      <c r="I459" s="149" t="n"/>
    </row>
    <row r="460" ht="15.6" customHeight="1" s="75">
      <c r="A460" s="58" t="inlineStr">
        <is>
          <t>DHKK-B-IV2.1.0</t>
        </is>
      </c>
      <c r="B460" s="37" t="n">
        <v>1</v>
      </c>
      <c r="C460" s="98" t="inlineStr">
        <is>
          <t>Quạt thông gió</t>
        </is>
      </c>
      <c r="D460" s="24" t="n"/>
      <c r="E460" s="24" t="n"/>
      <c r="F460" s="85" t="n"/>
      <c r="G460" s="85" t="n"/>
      <c r="H460" s="44" t="n"/>
      <c r="I460" s="137" t="n"/>
    </row>
    <row r="461" ht="42.3" customHeight="1" s="75">
      <c r="A461" s="58" t="inlineStr">
        <is>
          <t>DHKK-B-IV2.1.1</t>
        </is>
      </c>
      <c r="B461" s="24" t="n"/>
      <c r="C461" s="99" t="inlineStr">
        <is>
          <t>Quạt gắn trần nối ống gió EAF
 + Lưu lượng: 25 L/s
 + Cột áp: 50Pa</t>
        </is>
      </c>
      <c r="D461" s="61" t="inlineStr">
        <is>
          <t>Bộ</t>
        </is>
      </c>
      <c r="E461" s="61" t="inlineStr">
        <is>
          <t>Bộ</t>
        </is>
      </c>
      <c r="F461" s="88" t="n">
        <v>98</v>
      </c>
      <c r="G461" s="85" t="n"/>
      <c r="H461" s="42">
        <f>IF(OR(ISNUMBER(F461),ISNUMBER(G461)),N(F461)-N(G461),"")</f>
        <v/>
      </c>
      <c r="I461" s="137" t="n"/>
      <c r="J461" s="117">
        <f>IF(OR(ISNUMBER(F461),ISNUMBER(G461)),IF(ISBLANK(G461),"⚠️ Chưa bóc tách định mức",IF(H461&gt;=0,"✅ OK - Cho phép đặt hàng","❌ CHẶN ĐẶT HÀNG - CẦN BẢO VỆ KL")),"")</f>
        <v/>
      </c>
      <c r="K461" s="138">
        <f>IF(OR(ISNUMBER(F461),ISNUMBER(G461)),IF(ISBLANK(G461),"Kỹ sư/Thầu phụ cần bóc tách KL bản vẽ",IF(H461&gt;=0,"Được đặt hàng tối đa "&amp;G461&amp;" "&amp;E461,"Vượt dự toán "&amp;ABS(H461)&amp;" "&amp;E461&amp;" (QS giải trình &amp; duyệt sửa BOQ)")),"")</f>
        <v/>
      </c>
    </row>
    <row r="462" ht="13.8" customHeight="1" s="75">
      <c r="A462" s="80" t="n"/>
      <c r="B462" s="24" t="n"/>
      <c r="C462" s="101" t="n"/>
      <c r="D462" s="24" t="n"/>
      <c r="E462" s="24" t="n"/>
      <c r="F462" s="85" t="n"/>
      <c r="G462" s="85" t="n"/>
      <c r="H462" s="44" t="n"/>
      <c r="I462" s="137" t="n"/>
    </row>
    <row r="463" ht="15.6" customHeight="1" s="75">
      <c r="A463" s="58" t="inlineStr">
        <is>
          <t>DHKK-B-IV2.2.0</t>
        </is>
      </c>
      <c r="B463" s="37" t="n">
        <v>2</v>
      </c>
      <c r="C463" s="98" t="inlineStr">
        <is>
          <t>Ống gió và phụ kiện</t>
        </is>
      </c>
      <c r="D463" s="24" t="n"/>
      <c r="E463" s="24" t="n"/>
      <c r="F463" s="85" t="n"/>
      <c r="G463" s="85" t="n"/>
      <c r="H463" s="44" t="n"/>
      <c r="I463" s="137" t="n"/>
    </row>
    <row r="464" ht="15.6" customHeight="1" s="75">
      <c r="A464" s="58" t="inlineStr">
        <is>
          <t>DHKK-B-IV2.2.1</t>
        </is>
      </c>
      <c r="B464" s="24" t="n"/>
      <c r="C464" s="99" t="inlineStr">
        <is>
          <t>Ống gió WC uPVC DN100 PN5</t>
        </is>
      </c>
      <c r="D464" s="61" t="inlineStr">
        <is>
          <t>m</t>
        </is>
      </c>
      <c r="E464" s="61" t="inlineStr">
        <is>
          <t>m</t>
        </is>
      </c>
      <c r="F464" s="88" t="n">
        <v>1022</v>
      </c>
      <c r="G464" s="85" t="n"/>
      <c r="H464" s="42">
        <f>IF(OR(ISNUMBER(F464),ISNUMBER(G464)),N(F464)-N(G464),"")</f>
        <v/>
      </c>
      <c r="I464" s="137" t="n"/>
      <c r="J464" s="117">
        <f>IF(OR(ISNUMBER(F464),ISNUMBER(G464)),IF(ISBLANK(G464),"⚠️ Chưa bóc tách định mức",IF(H464&gt;=0,"✅ OK - Cho phép đặt hàng","❌ CHẶN ĐẶT HÀNG - CẦN BẢO VỆ KL")),"")</f>
        <v/>
      </c>
      <c r="K464" s="138">
        <f>IF(OR(ISNUMBER(F464),ISNUMBER(G464)),IF(ISBLANK(G464),"Kỹ sư/Thầu phụ cần bóc tách KL bản vẽ",IF(H464&gt;=0,"Được đặt hàng tối đa "&amp;G464&amp;" "&amp;E464,"Vượt dự toán "&amp;ABS(H464)&amp;" "&amp;E464&amp;" (QS giải trình &amp; duyệt sửa BOQ)")),"")</f>
        <v/>
      </c>
    </row>
    <row r="465" ht="15.6" customHeight="1" s="75">
      <c r="A465" s="58" t="inlineStr">
        <is>
          <t>DHKK-B-IV2.2.2</t>
        </is>
      </c>
      <c r="B465" s="24" t="n"/>
      <c r="C465" s="99" t="inlineStr">
        <is>
          <t>Ống gió bếp uPVC DN125 PN5</t>
        </is>
      </c>
      <c r="D465" s="61" t="inlineStr">
        <is>
          <t>m</t>
        </is>
      </c>
      <c r="E465" s="61" t="inlineStr">
        <is>
          <t>m</t>
        </is>
      </c>
      <c r="F465" s="88" t="n">
        <v>793</v>
      </c>
      <c r="G465" s="85" t="n"/>
      <c r="H465" s="42">
        <f>IF(OR(ISNUMBER(F465),ISNUMBER(G465)),N(F465)-N(G465),"")</f>
        <v/>
      </c>
      <c r="I465" s="137" t="n"/>
      <c r="J465" s="117">
        <f>IF(OR(ISNUMBER(F465),ISNUMBER(G465)),IF(ISBLANK(G465),"⚠️ Chưa bóc tách định mức",IF(H465&gt;=0,"✅ OK - Cho phép đặt hàng","❌ CHẶN ĐẶT HÀNG - CẦN BẢO VỆ KL")),"")</f>
        <v/>
      </c>
      <c r="K465" s="138">
        <f>IF(OR(ISNUMBER(F465),ISNUMBER(G465)),IF(ISBLANK(G465),"Kỹ sư/Thầu phụ cần bóc tách KL bản vẽ",IF(H465&gt;=0,"Được đặt hàng tối đa "&amp;G465&amp;" "&amp;E465,"Vượt dự toán "&amp;ABS(H465)&amp;" "&amp;E465&amp;" (QS giải trình &amp; duyệt sửa BOQ)")),"")</f>
        <v/>
      </c>
    </row>
    <row r="466" ht="15.6" customHeight="1" s="75">
      <c r="A466" s="58" t="inlineStr">
        <is>
          <t>DHKK-B-IV2.2.3</t>
        </is>
      </c>
      <c r="B466" s="24" t="n"/>
      <c r="C466" s="99" t="inlineStr">
        <is>
          <t>Co 45 uPVC D125 PN6</t>
        </is>
      </c>
      <c r="D466" s="61" t="inlineStr">
        <is>
          <t>Cái</t>
        </is>
      </c>
      <c r="E466" s="61" t="inlineStr">
        <is>
          <t>Cái</t>
        </is>
      </c>
      <c r="F466" s="88" t="n">
        <v>312</v>
      </c>
      <c r="G466" s="85" t="n"/>
      <c r="H466" s="42">
        <f>IF(OR(ISNUMBER(F466),ISNUMBER(G466)),N(F466)-N(G466),"")</f>
        <v/>
      </c>
      <c r="I466" s="137" t="n"/>
      <c r="J466" s="117">
        <f>IF(OR(ISNUMBER(F466),ISNUMBER(G466)),IF(ISBLANK(G466),"⚠️ Chưa bóc tách định mức",IF(H466&gt;=0,"✅ OK - Cho phép đặt hàng","❌ CHẶN ĐẶT HÀNG - CẦN BẢO VỆ KL")),"")</f>
        <v/>
      </c>
      <c r="K466" s="138">
        <f>IF(OR(ISNUMBER(F466),ISNUMBER(G466)),IF(ISBLANK(G466),"Kỹ sư/Thầu phụ cần bóc tách KL bản vẽ",IF(H466&gt;=0,"Được đặt hàng tối đa "&amp;G466&amp;" "&amp;E466,"Vượt dự toán "&amp;ABS(H466)&amp;" "&amp;E466&amp;" (QS giải trình &amp; duyệt sửa BOQ)")),"")</f>
        <v/>
      </c>
    </row>
    <row r="467" ht="15.6" customHeight="1" s="75">
      <c r="A467" s="58" t="inlineStr">
        <is>
          <t>DHKK-B-IV2.2.4</t>
        </is>
      </c>
      <c r="B467" s="24" t="n"/>
      <c r="C467" s="99" t="inlineStr">
        <is>
          <t>Co 90 uPVC DN100, ống gió WC</t>
        </is>
      </c>
      <c r="D467" s="61" t="inlineStr">
        <is>
          <t>Cái</t>
        </is>
      </c>
      <c r="E467" s="61" t="inlineStr">
        <is>
          <t>Cái</t>
        </is>
      </c>
      <c r="F467" s="88" t="n">
        <v>520</v>
      </c>
      <c r="G467" s="85" t="n"/>
      <c r="H467" s="42">
        <f>IF(OR(ISNUMBER(F467),ISNUMBER(G467)),N(F467)-N(G467),"")</f>
        <v/>
      </c>
      <c r="I467" s="137" t="n"/>
      <c r="J467" s="117">
        <f>IF(OR(ISNUMBER(F467),ISNUMBER(G467)),IF(ISBLANK(G467),"⚠️ Chưa bóc tách định mức",IF(H467&gt;=0,"✅ OK - Cho phép đặt hàng","❌ CHẶN ĐẶT HÀNG - CẦN BẢO VỆ KL")),"")</f>
        <v/>
      </c>
      <c r="K467" s="138">
        <f>IF(OR(ISNUMBER(F467),ISNUMBER(G467)),IF(ISBLANK(G467),"Kỹ sư/Thầu phụ cần bóc tách KL bản vẽ",IF(H467&gt;=0,"Được đặt hàng tối đa "&amp;G467&amp;" "&amp;E467,"Vượt dự toán "&amp;ABS(H467)&amp;" "&amp;E467&amp;" (QS giải trình &amp; duyệt sửa BOQ)")),"")</f>
        <v/>
      </c>
    </row>
    <row r="468" ht="15.6" customHeight="1" s="75">
      <c r="A468" s="58" t="inlineStr">
        <is>
          <t>DHKK-B-IV2.2.5</t>
        </is>
      </c>
      <c r="B468" s="24" t="n"/>
      <c r="C468" s="99" t="inlineStr">
        <is>
          <t>Co 90 uPVC DN125, ống gió bếp</t>
        </is>
      </c>
      <c r="D468" s="61" t="inlineStr">
        <is>
          <t>Cái</t>
        </is>
      </c>
      <c r="E468" s="61" t="inlineStr">
        <is>
          <t>Cái</t>
        </is>
      </c>
      <c r="F468" s="88" t="n">
        <v>910</v>
      </c>
      <c r="G468" s="85" t="n"/>
      <c r="H468" s="42">
        <f>IF(OR(ISNUMBER(F468),ISNUMBER(G468)),N(F468)-N(G468),"")</f>
        <v/>
      </c>
      <c r="I468" s="137" t="n"/>
      <c r="J468" s="117">
        <f>IF(OR(ISNUMBER(F468),ISNUMBER(G468)),IF(ISBLANK(G468),"⚠️ Chưa bóc tách định mức",IF(H468&gt;=0,"✅ OK - Cho phép đặt hàng","❌ CHẶN ĐẶT HÀNG - CẦN BẢO VỆ KL")),"")</f>
        <v/>
      </c>
      <c r="K468" s="138">
        <f>IF(OR(ISNUMBER(F468),ISNUMBER(G468)),IF(ISBLANK(G468),"Kỹ sư/Thầu phụ cần bóc tách KL bản vẽ",IF(H468&gt;=0,"Được đặt hàng tối đa "&amp;G468&amp;" "&amp;E468,"Vượt dự toán "&amp;ABS(H468)&amp;" "&amp;E468&amp;" (QS giải trình &amp; duyệt sửa BOQ)")),"")</f>
        <v/>
      </c>
    </row>
    <row r="469" ht="15.6" customHeight="1" s="75">
      <c r="A469" s="58" t="inlineStr">
        <is>
          <t>DHKK-B-IV2.2.6</t>
        </is>
      </c>
      <c r="B469" s="24" t="n"/>
      <c r="C469" s="99" t="inlineStr">
        <is>
          <t>T đều uPVC DN100 PN6</t>
        </is>
      </c>
      <c r="D469" s="61" t="inlineStr">
        <is>
          <t>Cái</t>
        </is>
      </c>
      <c r="E469" s="61" t="inlineStr">
        <is>
          <t>Cái</t>
        </is>
      </c>
      <c r="F469" s="88" t="n">
        <v>494</v>
      </c>
      <c r="G469" s="85" t="n"/>
      <c r="H469" s="42">
        <f>IF(OR(ISNUMBER(F469),ISNUMBER(G469)),N(F469)-N(G469),"")</f>
        <v/>
      </c>
      <c r="I469" s="137" t="n"/>
      <c r="J469" s="117">
        <f>IF(OR(ISNUMBER(F469),ISNUMBER(G469)),IF(ISBLANK(G469),"⚠️ Chưa bóc tách định mức",IF(H469&gt;=0,"✅ OK - Cho phép đặt hàng","❌ CHẶN ĐẶT HÀNG - CẦN BẢO VỆ KL")),"")</f>
        <v/>
      </c>
      <c r="K469" s="138">
        <f>IF(OR(ISNUMBER(F469),ISNUMBER(G469)),IF(ISBLANK(G469),"Kỹ sư/Thầu phụ cần bóc tách KL bản vẽ",IF(H469&gt;=0,"Được đặt hàng tối đa "&amp;G469&amp;" "&amp;E469,"Vượt dự toán "&amp;ABS(H469)&amp;" "&amp;E469&amp;" (QS giải trình &amp; duyệt sửa BOQ)")),"")</f>
        <v/>
      </c>
    </row>
    <row r="470" ht="15.6" customHeight="1" s="75">
      <c r="A470" s="58" t="inlineStr">
        <is>
          <t>DHKK-B-IV2.2.7</t>
        </is>
      </c>
      <c r="B470" s="24" t="n"/>
      <c r="C470" s="99" t="inlineStr">
        <is>
          <t>Nối giảm uPVC DN100/DN80 PN6</t>
        </is>
      </c>
      <c r="D470" s="61" t="inlineStr">
        <is>
          <t>Cái</t>
        </is>
      </c>
      <c r="E470" s="61" t="inlineStr">
        <is>
          <t>Cái</t>
        </is>
      </c>
      <c r="F470" s="88" t="n">
        <v>1534</v>
      </c>
      <c r="G470" s="85" t="n"/>
      <c r="H470" s="42">
        <f>IF(OR(ISNUMBER(F470),ISNUMBER(G470)),N(F470)-N(G470),"")</f>
        <v/>
      </c>
      <c r="I470" s="137" t="n"/>
      <c r="J470" s="117">
        <f>IF(OR(ISNUMBER(F470),ISNUMBER(G470)),IF(ISBLANK(G470),"⚠️ Chưa bóc tách định mức",IF(H470&gt;=0,"✅ OK - Cho phép đặt hàng","❌ CHẶN ĐẶT HÀNG - CẦN BẢO VỆ KL")),"")</f>
        <v/>
      </c>
      <c r="K470" s="138">
        <f>IF(OR(ISNUMBER(F470),ISNUMBER(G470)),IF(ISBLANK(G470),"Kỹ sư/Thầu phụ cần bóc tách KL bản vẽ",IF(H470&gt;=0,"Được đặt hàng tối đa "&amp;G470&amp;" "&amp;E470,"Vượt dự toán "&amp;ABS(H470)&amp;" "&amp;E470&amp;" (QS giải trình &amp; duyệt sửa BOQ)")),"")</f>
        <v/>
      </c>
    </row>
    <row r="471" ht="15.6" customHeight="1" s="75">
      <c r="A471" s="58" t="inlineStr">
        <is>
          <t>DHKK-B-IV2.2.8</t>
        </is>
      </c>
      <c r="B471" s="24" t="n"/>
      <c r="C471" s="99" t="inlineStr">
        <is>
          <t>Ống gió tole mạ kẽm dày 0.58mm</t>
        </is>
      </c>
      <c r="D471" s="61" t="inlineStr">
        <is>
          <t>m2</t>
        </is>
      </c>
      <c r="E471" s="61" t="inlineStr">
        <is>
          <t>m2</t>
        </is>
      </c>
      <c r="F471" s="88" t="n">
        <v>22</v>
      </c>
      <c r="G471" s="85" t="n"/>
      <c r="H471" s="42">
        <f>IF(OR(ISNUMBER(F471),ISNUMBER(G471)),N(F471)-N(G471),"")</f>
        <v/>
      </c>
      <c r="I471" s="137" t="n"/>
      <c r="J471" s="117">
        <f>IF(OR(ISNUMBER(F471),ISNUMBER(G471)),IF(ISBLANK(G471),"⚠️ Chưa bóc tách định mức",IF(H471&gt;=0,"✅ OK - Cho phép đặt hàng","❌ CHẶN ĐẶT HÀNG - CẦN BẢO VỆ KL")),"")</f>
        <v/>
      </c>
      <c r="K471" s="138">
        <f>IF(OR(ISNUMBER(F471),ISNUMBER(G471)),IF(ISBLANK(G471),"Kỹ sư/Thầu phụ cần bóc tách KL bản vẽ",IF(H471&gt;=0,"Được đặt hàng tối đa "&amp;G471&amp;" "&amp;E471,"Vượt dự toán "&amp;ABS(H471)&amp;" "&amp;E471&amp;" (QS giải trình &amp; duyệt sửa BOQ)")),"")</f>
        <v/>
      </c>
    </row>
    <row r="472" ht="15.6" customHeight="1" s="75">
      <c r="A472" s="58" t="inlineStr">
        <is>
          <t>DHKK-B-IV2.2.9</t>
        </is>
      </c>
      <c r="B472" s="24" t="n"/>
      <c r="C472" s="99" t="inlineStr">
        <is>
          <t>Ống gió mềm không cách nhiệt D100</t>
        </is>
      </c>
      <c r="D472" s="61" t="inlineStr">
        <is>
          <t>m</t>
        </is>
      </c>
      <c r="E472" s="61" t="inlineStr">
        <is>
          <t>m</t>
        </is>
      </c>
      <c r="F472" s="88" t="n">
        <v>196</v>
      </c>
      <c r="G472" s="85" t="n"/>
      <c r="H472" s="42">
        <f>IF(OR(ISNUMBER(F472),ISNUMBER(G472)),N(F472)-N(G472),"")</f>
        <v/>
      </c>
      <c r="I472" s="137" t="n"/>
      <c r="J472" s="117">
        <f>IF(OR(ISNUMBER(F472),ISNUMBER(G472)),IF(ISBLANK(G472),"⚠️ Chưa bóc tách định mức",IF(H472&gt;=0,"✅ OK - Cho phép đặt hàng","❌ CHẶN ĐẶT HÀNG - CẦN BẢO VỆ KL")),"")</f>
        <v/>
      </c>
      <c r="K472" s="138">
        <f>IF(OR(ISNUMBER(F472),ISNUMBER(G472)),IF(ISBLANK(G472),"Kỹ sư/Thầu phụ cần bóc tách KL bản vẽ",IF(H472&gt;=0,"Được đặt hàng tối đa "&amp;G472&amp;" "&amp;E472,"Vượt dự toán "&amp;ABS(H472)&amp;" "&amp;E472&amp;" (QS giải trình &amp; duyệt sửa BOQ)")),"")</f>
        <v/>
      </c>
    </row>
    <row r="473" ht="15.6" customHeight="1" s="75">
      <c r="A473" s="58" t="inlineStr">
        <is>
          <t>DHKK-B-IV2.2.10</t>
        </is>
      </c>
      <c r="B473" s="24" t="n"/>
      <c r="C473" s="99" t="inlineStr">
        <is>
          <t>Ống gió mềm không cách nhiệt D150</t>
        </is>
      </c>
      <c r="D473" s="61" t="inlineStr">
        <is>
          <t>m</t>
        </is>
      </c>
      <c r="E473" s="61" t="inlineStr">
        <is>
          <t>m</t>
        </is>
      </c>
      <c r="F473" s="88" t="n">
        <v>196</v>
      </c>
      <c r="G473" s="85" t="n"/>
      <c r="H473" s="42">
        <f>IF(OR(ISNUMBER(F473),ISNUMBER(G473)),N(F473)-N(G473),"")</f>
        <v/>
      </c>
      <c r="I473" s="137" t="n"/>
      <c r="J473" s="117">
        <f>IF(OR(ISNUMBER(F473),ISNUMBER(G473)),IF(ISBLANK(G473),"⚠️ Chưa bóc tách định mức",IF(H473&gt;=0,"✅ OK - Cho phép đặt hàng","❌ CHẶN ĐẶT HÀNG - CẦN BẢO VỆ KL")),"")</f>
        <v/>
      </c>
      <c r="K473" s="138">
        <f>IF(OR(ISNUMBER(F473),ISNUMBER(G473)),IF(ISBLANK(G473),"Kỹ sư/Thầu phụ cần bóc tách KL bản vẽ",IF(H473&gt;=0,"Được đặt hàng tối đa "&amp;G473&amp;" "&amp;E473,"Vượt dự toán "&amp;ABS(H473)&amp;" "&amp;E473&amp;" (QS giải trình &amp; duyệt sửa BOQ)")),"")</f>
        <v/>
      </c>
    </row>
    <row r="474" ht="13.8" customHeight="1" s="75">
      <c r="A474" s="80" t="n"/>
      <c r="B474" s="24" t="n"/>
      <c r="C474" s="101" t="n"/>
      <c r="D474" s="24" t="n"/>
      <c r="E474" s="24" t="n"/>
      <c r="F474" s="85" t="n"/>
      <c r="G474" s="85" t="n"/>
      <c r="H474" s="44" t="n"/>
      <c r="I474" s="137" t="n"/>
    </row>
    <row r="475" ht="15.6" customHeight="1" s="75">
      <c r="A475" s="58" t="inlineStr">
        <is>
          <t>DHKK-B-IV2.3.0</t>
        </is>
      </c>
      <c r="B475" s="37" t="n">
        <v>3</v>
      </c>
      <c r="C475" s="98" t="inlineStr">
        <is>
          <t>Miệng gió, van gió</t>
        </is>
      </c>
      <c r="D475" s="24" t="n"/>
      <c r="E475" s="24" t="n"/>
      <c r="F475" s="85" t="n"/>
      <c r="G475" s="85" t="n"/>
      <c r="H475" s="44" t="n"/>
      <c r="I475" s="137" t="n"/>
    </row>
    <row r="476" ht="15.6" customHeight="1" s="75">
      <c r="A476" s="58" t="inlineStr">
        <is>
          <t>DHKK-B-IV2.3.1</t>
        </is>
      </c>
      <c r="B476" s="24" t="n"/>
      <c r="C476" s="99" t="inlineStr">
        <is>
          <t>EAL 150x150 + I.S</t>
        </is>
      </c>
      <c r="D476" s="61" t="inlineStr">
        <is>
          <t>Cái</t>
        </is>
      </c>
      <c r="E476" s="61" t="inlineStr">
        <is>
          <t>Cái</t>
        </is>
      </c>
      <c r="F476" s="88" t="n">
        <v>0</v>
      </c>
      <c r="G476" s="85" t="n"/>
      <c r="H476" s="44">
        <f>IF(OR(ISNUMBER(F476),ISNUMBER(G476)),N(F476)-N(G476),"")</f>
        <v/>
      </c>
      <c r="I476" s="142" t="inlineStr">
        <is>
          <t>Louver nan Z kèm LCCT</t>
        </is>
      </c>
      <c r="J476" s="117">
        <f>IF(OR(ISNUMBER(F476),ISNUMBER(G476)),IF(ISBLANK(G476),"⚠️ Chưa bóc tách định mức",IF(H476&gt;=0,"✅ OK - Cho phép đặt hàng","❌ CHẶN ĐẶT HÀNG - CẦN BẢO VỆ KL")),"")</f>
        <v/>
      </c>
      <c r="K476" s="138">
        <f>IF(OR(ISNUMBER(F476),ISNUMBER(G476)),IF(ISBLANK(G476),"Kỹ sư/Thầu phụ cần bóc tách KL bản vẽ",IF(H476&gt;=0,"Được đặt hàng tối đa "&amp;G476&amp;" "&amp;E476,"Vượt dự toán "&amp;ABS(H476)&amp;" "&amp;E476&amp;" (QS giải trình &amp; duyệt sửa BOQ)")),"")</f>
        <v/>
      </c>
    </row>
    <row r="477" ht="15.6" customHeight="1" s="75">
      <c r="A477" s="58" t="inlineStr">
        <is>
          <t>DHKK-B-IV2.3.2</t>
        </is>
      </c>
      <c r="B477" s="24" t="n"/>
      <c r="C477" s="99" t="inlineStr">
        <is>
          <t>EAL 400x150 + I.S</t>
        </is>
      </c>
      <c r="D477" s="61" t="inlineStr">
        <is>
          <t>Cái</t>
        </is>
      </c>
      <c r="E477" s="61" t="inlineStr">
        <is>
          <t>Cái</t>
        </is>
      </c>
      <c r="F477" s="88" t="n">
        <v>98</v>
      </c>
      <c r="G477" s="85" t="n"/>
      <c r="H477" s="42">
        <f>IF(OR(ISNUMBER(F477),ISNUMBER(G477)),N(F477)-N(G477),"")</f>
        <v/>
      </c>
      <c r="I477" s="142" t="inlineStr">
        <is>
          <t>Louver nan Z kèm LCCT</t>
        </is>
      </c>
      <c r="J477" s="117">
        <f>IF(OR(ISNUMBER(F477),ISNUMBER(G477)),IF(ISBLANK(G477),"⚠️ Chưa bóc tách định mức",IF(H477&gt;=0,"✅ OK - Cho phép đặt hàng","❌ CHẶN ĐẶT HÀNG - CẦN BẢO VỆ KL")),"")</f>
        <v/>
      </c>
      <c r="K477" s="138">
        <f>IF(OR(ISNUMBER(F477),ISNUMBER(G477)),IF(ISBLANK(G477),"Kỹ sư/Thầu phụ cần bóc tách KL bản vẽ",IF(H477&gt;=0,"Được đặt hàng tối đa "&amp;G477&amp;" "&amp;E477,"Vượt dự toán "&amp;ABS(H477)&amp;" "&amp;E477&amp;" (QS giải trình &amp; duyệt sửa BOQ)")),"")</f>
        <v/>
      </c>
    </row>
    <row r="478" ht="13.8" customHeight="1" s="75">
      <c r="A478" s="80" t="n"/>
      <c r="B478" s="24" t="n"/>
      <c r="C478" s="101" t="n"/>
      <c r="D478" s="24" t="n"/>
      <c r="E478" s="24" t="n"/>
      <c r="F478" s="85" t="n"/>
      <c r="G478" s="85" t="n"/>
      <c r="H478" s="44" t="n"/>
      <c r="I478" s="137" t="n"/>
    </row>
    <row r="479" ht="15.6" customHeight="1" s="75">
      <c r="A479" s="58" t="inlineStr">
        <is>
          <t>DHKK-C</t>
        </is>
      </c>
      <c r="B479" s="28" t="inlineStr">
        <is>
          <t>C</t>
        </is>
      </c>
      <c r="C479" s="96" t="inlineStr">
        <is>
          <t>PHẦN KHỐI THÁP</t>
        </is>
      </c>
      <c r="D479" s="69" t="n"/>
      <c r="E479" s="69" t="n"/>
      <c r="F479" s="86" t="n"/>
      <c r="G479" s="86" t="n"/>
      <c r="H479" s="70" t="n"/>
      <c r="I479" s="135" t="n"/>
    </row>
    <row r="480" ht="15.6" customHeight="1" s="75">
      <c r="A480" s="58" t="inlineStr">
        <is>
          <t>DHKK-C-I</t>
        </is>
      </c>
      <c r="B480" s="33" t="inlineStr">
        <is>
          <t>I</t>
        </is>
      </c>
      <c r="C480" s="97" t="inlineStr">
        <is>
          <t>HỆ THỐNG ĐIỀU HÒA THÔNG GIÓ</t>
        </is>
      </c>
      <c r="D480" s="34" t="n"/>
      <c r="E480" s="34" t="n"/>
      <c r="F480" s="87" t="n"/>
      <c r="G480" s="87" t="n"/>
      <c r="H480" s="35" t="n"/>
      <c r="I480" s="144" t="n"/>
    </row>
    <row r="481" ht="15.6" customHeight="1" s="75">
      <c r="A481" s="58" t="inlineStr">
        <is>
          <t>DHKK-C-I.1.0</t>
        </is>
      </c>
      <c r="B481" s="37" t="n">
        <v>1</v>
      </c>
      <c r="C481" s="98" t="inlineStr">
        <is>
          <t>Thiết bị máy lạnh</t>
        </is>
      </c>
      <c r="D481" s="24" t="n"/>
      <c r="E481" s="24" t="n"/>
      <c r="F481" s="85" t="n"/>
      <c r="G481" s="85" t="n"/>
      <c r="H481" s="44" t="n"/>
      <c r="I481" s="137" t="n"/>
    </row>
    <row r="482" ht="28.5" customHeight="1" s="75">
      <c r="A482" s="58" t="inlineStr">
        <is>
          <t>DHKK-C-I.1.1</t>
        </is>
      </c>
      <c r="B482" s="24" t="n"/>
      <c r="C482" s="99" t="inlineStr">
        <is>
          <t>Máy lạnh cục bộ, dàn lạnh loại gắn tường ODU/IDU-TF/L-01,02,03,04, công suất lạnh: 5.3 Kw.</t>
        </is>
      </c>
      <c r="D482" s="61" t="inlineStr">
        <is>
          <t>Bộ</t>
        </is>
      </c>
      <c r="E482" s="61" t="inlineStr">
        <is>
          <t>Bộ</t>
        </is>
      </c>
      <c r="F482" s="88" t="n">
        <v>4</v>
      </c>
      <c r="G482" s="88" t="n">
        <v>4</v>
      </c>
      <c r="H482" s="44">
        <f>IF(OR(ISNUMBER(F482),ISNUMBER(G482)),N(F482)-N(G482),"")</f>
        <v/>
      </c>
      <c r="I482" s="137" t="n"/>
      <c r="J482" s="117">
        <f>IF(OR(ISNUMBER(F482),ISNUMBER(G482)),IF(ISBLANK(G482),"⚠️ Chưa bóc tách định mức",IF(H482&gt;=0,"✅ OK - Cho phép đặt hàng","❌ CHẶN ĐẶT HÀNG - CẦN BẢO VỆ KL")),"")</f>
        <v/>
      </c>
      <c r="K482" s="138">
        <f>IF(OR(ISNUMBER(F482),ISNUMBER(G482)),IF(ISBLANK(G482),"Kỹ sư/Thầu phụ cần bóc tách KL bản vẽ",IF(H482&gt;=0,"Được đặt hàng tối đa "&amp;G482&amp;" "&amp;E482,"Vượt dự toán "&amp;ABS(H482)&amp;" "&amp;E482&amp;" (QS giải trình &amp; duyệt sửa BOQ)")),"")</f>
        <v/>
      </c>
    </row>
    <row r="483" ht="28.5" customHeight="1" s="75">
      <c r="A483" s="58" t="inlineStr">
        <is>
          <t>DHKK-C-I.1.2</t>
        </is>
      </c>
      <c r="B483" s="24" t="n"/>
      <c r="C483" s="99" t="inlineStr">
        <is>
          <t>Máy lạnh cục bộ, dàn lạnh loại gắn tường ODU/IDU-TF/L-01,02,03,04, công suất lạnh: 5.3 Kw.</t>
        </is>
      </c>
      <c r="D483" s="61" t="inlineStr">
        <is>
          <t>Bộ</t>
        </is>
      </c>
      <c r="E483" s="61" t="inlineStr">
        <is>
          <t>Bộ</t>
        </is>
      </c>
      <c r="F483" s="88" t="n">
        <v>0</v>
      </c>
      <c r="G483" s="85" t="n"/>
      <c r="H483" s="44">
        <f>IF(OR(ISNUMBER(F483),ISNUMBER(G483)),N(F483)-N(G483),"")</f>
        <v/>
      </c>
      <c r="I483" s="137" t="n"/>
      <c r="J483" s="117">
        <f>IF(OR(ISNUMBER(F483),ISNUMBER(G483)),IF(ISBLANK(G483),"⚠️ Chưa bóc tách định mức",IF(H483&gt;=0,"✅ OK - Cho phép đặt hàng","❌ CHẶN ĐẶT HÀNG - CẦN BẢO VỆ KL")),"")</f>
        <v/>
      </c>
      <c r="K483" s="138">
        <f>IF(OR(ISNUMBER(F483),ISNUMBER(G483)),IF(ISBLANK(G483),"Kỹ sư/Thầu phụ cần bóc tách KL bản vẽ",IF(H483&gt;=0,"Được đặt hàng tối đa "&amp;G483&amp;" "&amp;E483,"Vượt dự toán "&amp;ABS(H483)&amp;" "&amp;E483&amp;" (QS giải trình &amp; duyệt sửa BOQ)")),"")</f>
        <v/>
      </c>
    </row>
    <row r="484" ht="13.8" customHeight="1" s="75">
      <c r="A484" s="80" t="n"/>
      <c r="B484" s="24" t="n"/>
      <c r="C484" s="101" t="n"/>
      <c r="D484" s="24" t="n"/>
      <c r="E484" s="24" t="n"/>
      <c r="F484" s="85" t="n"/>
      <c r="G484" s="85" t="n"/>
      <c r="H484" s="44" t="n"/>
      <c r="I484" s="137" t="n"/>
    </row>
    <row r="485" ht="15.6" customHeight="1" s="75">
      <c r="A485" s="58" t="inlineStr">
        <is>
          <t>DHKK-C-I.2</t>
        </is>
      </c>
      <c r="B485" s="37" t="n">
        <v>2</v>
      </c>
      <c r="C485" s="98" t="inlineStr">
        <is>
          <t>Ống đồng và phụ kiện</t>
        </is>
      </c>
      <c r="D485" s="24" t="n"/>
      <c r="E485" s="24" t="n"/>
      <c r="F485" s="85" t="n"/>
      <c r="G485" s="85" t="n"/>
      <c r="H485" s="44" t="n"/>
      <c r="I485" s="137" t="n"/>
    </row>
    <row r="486" ht="15.6" customHeight="1" s="75">
      <c r="A486" s="58" t="inlineStr">
        <is>
          <t>DHKK-C-I.2.0</t>
        </is>
      </c>
      <c r="B486" s="148" t="n">
        <v>46024</v>
      </c>
      <c r="C486" s="98" t="inlineStr">
        <is>
          <t>Ống đồng</t>
        </is>
      </c>
      <c r="D486" s="24" t="n"/>
      <c r="E486" s="24" t="n"/>
      <c r="F486" s="85" t="n"/>
      <c r="G486" s="85" t="n"/>
      <c r="H486" s="44" t="n"/>
      <c r="I486" s="137" t="n"/>
    </row>
    <row r="487" ht="15.6" customHeight="1" s="75">
      <c r="A487" s="58" t="inlineStr">
        <is>
          <t>DHKK-C-I.2.1</t>
        </is>
      </c>
      <c r="B487" s="24" t="n"/>
      <c r="C487" s="99" t="inlineStr">
        <is>
          <t>Ống đồng Ø9.5 dày 0.81mm</t>
        </is>
      </c>
      <c r="D487" s="61" t="inlineStr">
        <is>
          <t>m</t>
        </is>
      </c>
      <c r="E487" s="61" t="inlineStr">
        <is>
          <t>m</t>
        </is>
      </c>
      <c r="F487" s="88" t="n">
        <v>25</v>
      </c>
      <c r="G487" s="85" t="n"/>
      <c r="H487" s="42">
        <f>IF(OR(ISNUMBER(F487),ISNUMBER(G487)),N(F487)-N(G487),"")</f>
        <v/>
      </c>
      <c r="I487" s="137" t="n"/>
      <c r="J487" s="117">
        <f>IF(OR(ISNUMBER(F487),ISNUMBER(G487)),IF(ISBLANK(G487),"⚠️ Chưa bóc tách định mức",IF(H487&gt;=0,"✅ OK - Cho phép đặt hàng","❌ CHẶN ĐẶT HÀNG - CẦN BẢO VỆ KL")),"")</f>
        <v/>
      </c>
      <c r="K487" s="138">
        <f>IF(OR(ISNUMBER(F487),ISNUMBER(G487)),IF(ISBLANK(G487),"Kỹ sư/Thầu phụ cần bóc tách KL bản vẽ",IF(H487&gt;=0,"Được đặt hàng tối đa "&amp;G487&amp;" "&amp;E487,"Vượt dự toán "&amp;ABS(H487)&amp;" "&amp;E487&amp;" (QS giải trình &amp; duyệt sửa BOQ)")),"")</f>
        <v/>
      </c>
    </row>
    <row r="488" ht="15.6" customHeight="1" s="75">
      <c r="A488" s="58" t="inlineStr">
        <is>
          <t>DHKK-C-I.2.2</t>
        </is>
      </c>
      <c r="B488" s="24" t="n"/>
      <c r="C488" s="99" t="inlineStr">
        <is>
          <t>Ống đồng Ø15.9 dày 1.02mm</t>
        </is>
      </c>
      <c r="D488" s="61" t="inlineStr">
        <is>
          <t>m</t>
        </is>
      </c>
      <c r="E488" s="61" t="inlineStr">
        <is>
          <t>m</t>
        </is>
      </c>
      <c r="F488" s="88" t="n">
        <v>25</v>
      </c>
      <c r="G488" s="85" t="n"/>
      <c r="H488" s="42">
        <f>IF(OR(ISNUMBER(F488),ISNUMBER(G488)),N(F488)-N(G488),"")</f>
        <v/>
      </c>
      <c r="I488" s="137" t="n"/>
      <c r="J488" s="117">
        <f>IF(OR(ISNUMBER(F488),ISNUMBER(G488)),IF(ISBLANK(G488),"⚠️ Chưa bóc tách định mức",IF(H488&gt;=0,"✅ OK - Cho phép đặt hàng","❌ CHẶN ĐẶT HÀNG - CẦN BẢO VỆ KL")),"")</f>
        <v/>
      </c>
      <c r="K488" s="138">
        <f>IF(OR(ISNUMBER(F488),ISNUMBER(G488)),IF(ISBLANK(G488),"Kỹ sư/Thầu phụ cần bóc tách KL bản vẽ",IF(H488&gt;=0,"Được đặt hàng tối đa "&amp;G488&amp;" "&amp;E488,"Vượt dự toán "&amp;ABS(H488)&amp;" "&amp;E488&amp;" (QS giải trình &amp; duyệt sửa BOQ)")),"")</f>
        <v/>
      </c>
    </row>
    <row r="489" ht="13.8" customHeight="1" s="75">
      <c r="A489" s="80" t="n"/>
      <c r="B489" s="24" t="n"/>
      <c r="C489" s="101" t="n"/>
      <c r="D489" s="24" t="n"/>
      <c r="E489" s="24" t="n"/>
      <c r="F489" s="85" t="n"/>
      <c r="G489" s="85" t="n"/>
      <c r="H489" s="44" t="n"/>
      <c r="I489" s="137" t="n"/>
    </row>
    <row r="490" ht="15.6" customHeight="1" s="75">
      <c r="A490" s="58" t="inlineStr">
        <is>
          <t>DHKK-C-I.2.00</t>
        </is>
      </c>
      <c r="B490" s="148" t="n">
        <v>46055</v>
      </c>
      <c r="C490" s="98" t="inlineStr">
        <is>
          <t>Cách nhiệt ống đồng</t>
        </is>
      </c>
      <c r="D490" s="24" t="n"/>
      <c r="E490" s="24" t="n"/>
      <c r="F490" s="85" t="n"/>
      <c r="G490" s="85" t="n"/>
      <c r="H490" s="44" t="n"/>
      <c r="I490" s="137" t="n"/>
    </row>
    <row r="491" ht="15.6" customHeight="1" s="75">
      <c r="A491" s="58" t="inlineStr">
        <is>
          <t>DHKK-C-I.2.3</t>
        </is>
      </c>
      <c r="B491" s="24" t="n"/>
      <c r="C491" s="99" t="inlineStr">
        <is>
          <t>Bảo ôn ống đồng Ø9.5 dày 13mm</t>
        </is>
      </c>
      <c r="D491" s="61" t="inlineStr">
        <is>
          <t>m</t>
        </is>
      </c>
      <c r="E491" s="61" t="inlineStr">
        <is>
          <t>m</t>
        </is>
      </c>
      <c r="F491" s="88" t="n">
        <v>25</v>
      </c>
      <c r="G491" s="85" t="n"/>
      <c r="H491" s="42">
        <f>IF(OR(ISNUMBER(F491),ISNUMBER(G491)),N(F491)-N(G491),"")</f>
        <v/>
      </c>
      <c r="I491" s="137" t="n"/>
      <c r="J491" s="117">
        <f>IF(OR(ISNUMBER(F491),ISNUMBER(G491)),IF(ISBLANK(G491),"⚠️ Chưa bóc tách định mức",IF(H491&gt;=0,"✅ OK - Cho phép đặt hàng","❌ CHẶN ĐẶT HÀNG - CẦN BẢO VỆ KL")),"")</f>
        <v/>
      </c>
      <c r="K491" s="138">
        <f>IF(OR(ISNUMBER(F491),ISNUMBER(G491)),IF(ISBLANK(G491),"Kỹ sư/Thầu phụ cần bóc tách KL bản vẽ",IF(H491&gt;=0,"Được đặt hàng tối đa "&amp;G491&amp;" "&amp;E491,"Vượt dự toán "&amp;ABS(H491)&amp;" "&amp;E491&amp;" (QS giải trình &amp; duyệt sửa BOQ)")),"")</f>
        <v/>
      </c>
    </row>
    <row r="492" ht="15.6" customHeight="1" s="75">
      <c r="A492" s="58" t="inlineStr">
        <is>
          <t>DHKK-C-I.2.4</t>
        </is>
      </c>
      <c r="B492" s="24" t="n"/>
      <c r="C492" s="99" t="inlineStr">
        <is>
          <t>Bảo ôn ống đồng Ø15.9 dày 13mm</t>
        </is>
      </c>
      <c r="D492" s="61" t="inlineStr">
        <is>
          <t>m</t>
        </is>
      </c>
      <c r="E492" s="61" t="inlineStr">
        <is>
          <t>m</t>
        </is>
      </c>
      <c r="F492" s="88" t="n">
        <v>25</v>
      </c>
      <c r="G492" s="85" t="n"/>
      <c r="H492" s="42">
        <f>IF(OR(ISNUMBER(F492),ISNUMBER(G492)),N(F492)-N(G492),"")</f>
        <v/>
      </c>
      <c r="I492" s="137" t="n"/>
      <c r="J492" s="117">
        <f>IF(OR(ISNUMBER(F492),ISNUMBER(G492)),IF(ISBLANK(G492),"⚠️ Chưa bóc tách định mức",IF(H492&gt;=0,"✅ OK - Cho phép đặt hàng","❌ CHẶN ĐẶT HÀNG - CẦN BẢO VỆ KL")),"")</f>
        <v/>
      </c>
      <c r="K492" s="138">
        <f>IF(OR(ISNUMBER(F492),ISNUMBER(G492)),IF(ISBLANK(G492),"Kỹ sư/Thầu phụ cần bóc tách KL bản vẽ",IF(H492&gt;=0,"Được đặt hàng tối đa "&amp;G492&amp;" "&amp;E492,"Vượt dự toán "&amp;ABS(H492)&amp;" "&amp;E492&amp;" (QS giải trình &amp; duyệt sửa BOQ)")),"")</f>
        <v/>
      </c>
    </row>
    <row r="493" ht="13.8" customHeight="1" s="75">
      <c r="A493" s="80" t="n"/>
      <c r="B493" s="24" t="n"/>
      <c r="C493" s="101" t="n"/>
      <c r="D493" s="24" t="n"/>
      <c r="E493" s="24" t="n"/>
      <c r="F493" s="85" t="n"/>
      <c r="G493" s="85" t="n"/>
      <c r="H493" s="44" t="n"/>
      <c r="I493" s="137" t="n"/>
    </row>
    <row r="494" ht="15.6" customHeight="1" s="75">
      <c r="A494" s="58" t="inlineStr">
        <is>
          <t>DHKK-C-I.3.00</t>
        </is>
      </c>
      <c r="B494" s="37" t="n">
        <v>3</v>
      </c>
      <c r="C494" s="98" t="inlineStr">
        <is>
          <t>Ống nước ngưng và phụ kiện</t>
        </is>
      </c>
      <c r="D494" s="24" t="n"/>
      <c r="E494" s="24" t="n"/>
      <c r="F494" s="85" t="n"/>
      <c r="G494" s="85" t="n"/>
      <c r="H494" s="44" t="n"/>
      <c r="I494" s="137" t="n"/>
    </row>
    <row r="495" ht="15.6" customHeight="1" s="75">
      <c r="A495" s="58" t="inlineStr">
        <is>
          <t>DHKK-C-I.3.0</t>
        </is>
      </c>
      <c r="B495" s="148" t="n">
        <v>46025</v>
      </c>
      <c r="C495" s="98" t="inlineStr">
        <is>
          <t>Ống nước ngưng</t>
        </is>
      </c>
      <c r="D495" s="24" t="n"/>
      <c r="E495" s="24" t="n"/>
      <c r="F495" s="85" t="n"/>
      <c r="G495" s="85" t="n"/>
      <c r="H495" s="44" t="n"/>
      <c r="I495" s="137" t="n"/>
    </row>
    <row r="496" ht="15.6" customHeight="1" s="75">
      <c r="A496" s="58" t="inlineStr">
        <is>
          <t>DHKK-C-I.3.1</t>
        </is>
      </c>
      <c r="B496" s="24" t="n"/>
      <c r="C496" s="98" t="inlineStr">
        <is>
          <t>Ống thoát nước ngưng uPVC Ø27</t>
        </is>
      </c>
      <c r="D496" s="61" t="inlineStr">
        <is>
          <t>m</t>
        </is>
      </c>
      <c r="E496" s="61" t="inlineStr">
        <is>
          <t>m</t>
        </is>
      </c>
      <c r="F496" s="88" t="n">
        <v>32</v>
      </c>
      <c r="G496" s="85" t="n"/>
      <c r="H496" s="42">
        <f>IF(OR(ISNUMBER(F496),ISNUMBER(G496)),N(F496)-N(G496),"")</f>
        <v/>
      </c>
      <c r="I496" s="137" t="n"/>
      <c r="J496" s="117">
        <f>IF(OR(ISNUMBER(F496),ISNUMBER(G496)),IF(ISBLANK(G496),"⚠️ Chưa bóc tách định mức",IF(H496&gt;=0,"✅ OK - Cho phép đặt hàng","❌ CHẶN ĐẶT HÀNG - CẦN BẢO VỆ KL")),"")</f>
        <v/>
      </c>
      <c r="K496" s="138">
        <f>IF(OR(ISNUMBER(F496),ISNUMBER(G496)),IF(ISBLANK(G496),"Kỹ sư/Thầu phụ cần bóc tách KL bản vẽ",IF(H496&gt;=0,"Được đặt hàng tối đa "&amp;G496&amp;" "&amp;E496,"Vượt dự toán "&amp;ABS(H496)&amp;" "&amp;E496&amp;" (QS giải trình &amp; duyệt sửa BOQ)")),"")</f>
        <v/>
      </c>
    </row>
    <row r="497" ht="15.6" customHeight="1" s="75">
      <c r="A497" s="58" t="inlineStr">
        <is>
          <t>DHKK-C-I.3.2</t>
        </is>
      </c>
      <c r="B497" s="24" t="n"/>
      <c r="C497" s="98" t="inlineStr">
        <is>
          <t>Ống thoát nước ngưng uPVC Ø34</t>
        </is>
      </c>
      <c r="D497" s="61" t="inlineStr">
        <is>
          <t>m</t>
        </is>
      </c>
      <c r="E497" s="61" t="inlineStr">
        <is>
          <t>m</t>
        </is>
      </c>
      <c r="F497" s="88" t="n">
        <v>60</v>
      </c>
      <c r="G497" s="85" t="n"/>
      <c r="H497" s="42">
        <f>IF(OR(ISNUMBER(F497),ISNUMBER(G497)),N(F497)-N(G497),"")</f>
        <v/>
      </c>
      <c r="I497" s="137" t="n"/>
      <c r="J497" s="117">
        <f>IF(OR(ISNUMBER(F497),ISNUMBER(G497)),IF(ISBLANK(G497),"⚠️ Chưa bóc tách định mức",IF(H497&gt;=0,"✅ OK - Cho phép đặt hàng","❌ CHẶN ĐẶT HÀNG - CẦN BẢO VỆ KL")),"")</f>
        <v/>
      </c>
      <c r="K497" s="138">
        <f>IF(OR(ISNUMBER(F497),ISNUMBER(G497)),IF(ISBLANK(G497),"Kỹ sư/Thầu phụ cần bóc tách KL bản vẽ",IF(H497&gt;=0,"Được đặt hàng tối đa "&amp;G497&amp;" "&amp;E497,"Vượt dự toán "&amp;ABS(H497)&amp;" "&amp;E497&amp;" (QS giải trình &amp; duyệt sửa BOQ)")),"")</f>
        <v/>
      </c>
    </row>
    <row r="498" ht="15.6" customHeight="1" s="75">
      <c r="A498" s="58" t="inlineStr">
        <is>
          <t>DHKK-C-I.3.3</t>
        </is>
      </c>
      <c r="B498" s="24" t="n"/>
      <c r="C498" s="98" t="inlineStr">
        <is>
          <t>Ống thoát nước ngưng uPVC Ø42</t>
        </is>
      </c>
      <c r="D498" s="61" t="inlineStr">
        <is>
          <t>m</t>
        </is>
      </c>
      <c r="E498" s="61" t="inlineStr">
        <is>
          <t>m</t>
        </is>
      </c>
      <c r="F498" s="88" t="n">
        <v>4410</v>
      </c>
      <c r="G498" s="88" t="n">
        <v>4849</v>
      </c>
      <c r="H498" s="60">
        <f>IF(OR(ISNUMBER(F498),ISNUMBER(G498)),N(F498)-N(G498),"")</f>
        <v/>
      </c>
      <c r="I498" s="137" t="n"/>
      <c r="J498" s="117">
        <f>IF(OR(ISNUMBER(F498),ISNUMBER(G498)),IF(ISBLANK(G498),"⚠️ Chưa bóc tách định mức",IF(H498&gt;=0,"✅ OK - Cho phép đặt hàng","❌ CHẶN ĐẶT HÀNG - CẦN BẢO VỆ KL")),"")</f>
        <v/>
      </c>
      <c r="K498" s="138">
        <f>IF(OR(ISNUMBER(F498),ISNUMBER(G498)),IF(ISBLANK(G498),"Kỹ sư/Thầu phụ cần bóc tách KL bản vẽ",IF(H498&gt;=0,"Được đặt hàng tối đa "&amp;G498&amp;" "&amp;E498,"Vượt dự toán "&amp;ABS(H498)&amp;" "&amp;E498&amp;" (QS giải trình &amp; duyệt sửa BOQ)")),"")</f>
        <v/>
      </c>
    </row>
    <row r="499" ht="15.6" customHeight="1" s="75">
      <c r="A499" s="58" t="inlineStr">
        <is>
          <t>DHKK-C-I.3.4</t>
        </is>
      </c>
      <c r="B499" s="24" t="n"/>
      <c r="C499" s="98" t="inlineStr">
        <is>
          <t>Ống thoát nước ngưng uPVC Ø114</t>
        </is>
      </c>
      <c r="D499" s="61" t="inlineStr">
        <is>
          <t>m</t>
        </is>
      </c>
      <c r="E499" s="61" t="inlineStr">
        <is>
          <t>m</t>
        </is>
      </c>
      <c r="F499" s="88" t="n">
        <v>52</v>
      </c>
      <c r="G499" s="85" t="n"/>
      <c r="H499" s="42">
        <f>IF(OR(ISNUMBER(F499),ISNUMBER(G499)),N(F499)-N(G499),"")</f>
        <v/>
      </c>
      <c r="I499" s="137" t="n"/>
      <c r="J499" s="117">
        <f>IF(OR(ISNUMBER(F499),ISNUMBER(G499)),IF(ISBLANK(G499),"⚠️ Chưa bóc tách định mức",IF(H499&gt;=0,"✅ OK - Cho phép đặt hàng","❌ CHẶN ĐẶT HÀNG - CẦN BẢO VỆ KL")),"")</f>
        <v/>
      </c>
      <c r="K499" s="138">
        <f>IF(OR(ISNUMBER(F499),ISNUMBER(G499)),IF(ISBLANK(G499),"Kỹ sư/Thầu phụ cần bóc tách KL bản vẽ",IF(H499&gt;=0,"Được đặt hàng tối đa "&amp;G499&amp;" "&amp;E499,"Vượt dự toán "&amp;ABS(H499)&amp;" "&amp;E499&amp;" (QS giải trình &amp; duyệt sửa BOQ)")),"")</f>
        <v/>
      </c>
    </row>
    <row r="500" ht="15.6" customHeight="1" s="75">
      <c r="A500" s="58" t="inlineStr">
        <is>
          <t>DHKK-C-I.3.5</t>
        </is>
      </c>
      <c r="B500" s="24" t="n"/>
      <c r="C500" s="99" t="inlineStr">
        <is>
          <t>Nối trơn uPVC D42 PN9</t>
        </is>
      </c>
      <c r="D500" s="61" t="inlineStr">
        <is>
          <t>Cái</t>
        </is>
      </c>
      <c r="E500" s="61" t="inlineStr">
        <is>
          <t>Cái</t>
        </is>
      </c>
      <c r="F500" s="88" t="n">
        <v>374</v>
      </c>
      <c r="G500" s="88" t="n">
        <v>374</v>
      </c>
      <c r="H500" s="44">
        <f>IF(OR(ISNUMBER(F500),ISNUMBER(G500)),N(F500)-N(G500),"")</f>
        <v/>
      </c>
      <c r="I500" s="137" t="n"/>
      <c r="J500" s="117">
        <f>IF(OR(ISNUMBER(F500),ISNUMBER(G500)),IF(ISBLANK(G500),"⚠️ Chưa bóc tách định mức",IF(H500&gt;=0,"✅ OK - Cho phép đặt hàng","❌ CHẶN ĐẶT HÀNG - CẦN BẢO VỆ KL")),"")</f>
        <v/>
      </c>
      <c r="K500" s="138">
        <f>IF(OR(ISNUMBER(F500),ISNUMBER(G500)),IF(ISBLANK(G500),"Kỹ sư/Thầu phụ cần bóc tách KL bản vẽ",IF(H500&gt;=0,"Được đặt hàng tối đa "&amp;G500&amp;" "&amp;E500,"Vượt dự toán "&amp;ABS(H500)&amp;" "&amp;E500&amp;" (QS giải trình &amp; duyệt sửa BOQ)")),"")</f>
        <v/>
      </c>
    </row>
    <row r="501" ht="15.6" customHeight="1" s="75">
      <c r="A501" s="58" t="inlineStr">
        <is>
          <t>DHKK-C-I.3.6</t>
        </is>
      </c>
      <c r="B501" s="24" t="n"/>
      <c r="C501" s="99" t="inlineStr">
        <is>
          <t>Co 45 uPVC D42 PN9</t>
        </is>
      </c>
      <c r="D501" s="61" t="inlineStr">
        <is>
          <t>Cái</t>
        </is>
      </c>
      <c r="E501" s="61" t="inlineStr">
        <is>
          <t>Cái</t>
        </is>
      </c>
      <c r="F501" s="88" t="n">
        <v>424</v>
      </c>
      <c r="G501" s="88" t="n">
        <v>424</v>
      </c>
      <c r="H501" s="44">
        <f>IF(OR(ISNUMBER(F501),ISNUMBER(G501)),N(F501)-N(G501),"")</f>
        <v/>
      </c>
      <c r="I501" s="137" t="n"/>
      <c r="J501" s="117">
        <f>IF(OR(ISNUMBER(F501),ISNUMBER(G501)),IF(ISBLANK(G501),"⚠️ Chưa bóc tách định mức",IF(H501&gt;=0,"✅ OK - Cho phép đặt hàng","❌ CHẶN ĐẶT HÀNG - CẦN BẢO VỆ KL")),"")</f>
        <v/>
      </c>
      <c r="K501" s="138">
        <f>IF(OR(ISNUMBER(F501),ISNUMBER(G501)),IF(ISBLANK(G501),"Kỹ sư/Thầu phụ cần bóc tách KL bản vẽ",IF(H501&gt;=0,"Được đặt hàng tối đa "&amp;G501&amp;" "&amp;E501,"Vượt dự toán "&amp;ABS(H501)&amp;" "&amp;E501&amp;" (QS giải trình &amp; duyệt sửa BOQ)")),"")</f>
        <v/>
      </c>
    </row>
    <row r="502" ht="15.6" customHeight="1" s="75">
      <c r="A502" s="58" t="inlineStr">
        <is>
          <t>DHKK-C-I.3.7</t>
        </is>
      </c>
      <c r="B502" s="24" t="n"/>
      <c r="C502" s="99" t="inlineStr">
        <is>
          <t>Y đều uPVC D42 PN9</t>
        </is>
      </c>
      <c r="D502" s="61" t="inlineStr">
        <is>
          <t>Cái</t>
        </is>
      </c>
      <c r="E502" s="61" t="inlineStr">
        <is>
          <t>Cái</t>
        </is>
      </c>
      <c r="F502" s="88" t="n">
        <v>1378</v>
      </c>
      <c r="G502" s="88" t="n">
        <v>1378</v>
      </c>
      <c r="H502" s="44">
        <f>IF(OR(ISNUMBER(F502),ISNUMBER(G502)),N(F502)-N(G502),"")</f>
        <v/>
      </c>
      <c r="I502" s="137" t="n"/>
      <c r="J502" s="117">
        <f>IF(OR(ISNUMBER(F502),ISNUMBER(G502)),IF(ISBLANK(G502),"⚠️ Chưa bóc tách định mức",IF(H502&gt;=0,"✅ OK - Cho phép đặt hàng","❌ CHẶN ĐẶT HÀNG - CẦN BẢO VỆ KL")),"")</f>
        <v/>
      </c>
      <c r="K502" s="138">
        <f>IF(OR(ISNUMBER(F502),ISNUMBER(G502)),IF(ISBLANK(G502),"Kỹ sư/Thầu phụ cần bóc tách KL bản vẽ",IF(H502&gt;=0,"Được đặt hàng tối đa "&amp;G502&amp;" "&amp;E502,"Vượt dự toán "&amp;ABS(H502)&amp;" "&amp;E502&amp;" (QS giải trình &amp; duyệt sửa BOQ)")),"")</f>
        <v/>
      </c>
    </row>
    <row r="503" ht="15.6" customHeight="1" s="75">
      <c r="A503" s="58" t="inlineStr">
        <is>
          <t>DHKK-C-I.3.8</t>
        </is>
      </c>
      <c r="B503" s="24" t="n"/>
      <c r="C503" s="99" t="inlineStr">
        <is>
          <t>Co 90 uPVC D42 PN9</t>
        </is>
      </c>
      <c r="D503" s="61" t="inlineStr">
        <is>
          <t>Cái</t>
        </is>
      </c>
      <c r="E503" s="61" t="inlineStr">
        <is>
          <t>Cái</t>
        </is>
      </c>
      <c r="F503" s="88" t="n">
        <v>106</v>
      </c>
      <c r="G503" s="88" t="n">
        <v>106</v>
      </c>
      <c r="H503" s="44">
        <f>IF(OR(ISNUMBER(F503),ISNUMBER(G503)),N(F503)-N(G503),"")</f>
        <v/>
      </c>
      <c r="I503" s="137" t="n"/>
      <c r="J503" s="117">
        <f>IF(OR(ISNUMBER(F503),ISNUMBER(G503)),IF(ISBLANK(G503),"⚠️ Chưa bóc tách định mức",IF(H503&gt;=0,"✅ OK - Cho phép đặt hàng","❌ CHẶN ĐẶT HÀNG - CẦN BẢO VỆ KL")),"")</f>
        <v/>
      </c>
      <c r="K503" s="138">
        <f>IF(OR(ISNUMBER(F503),ISNUMBER(G503)),IF(ISBLANK(G503),"Kỹ sư/Thầu phụ cần bóc tách KL bản vẽ",IF(H503&gt;=0,"Được đặt hàng tối đa "&amp;G503&amp;" "&amp;E503,"Vượt dự toán "&amp;ABS(H503)&amp;" "&amp;E503&amp;" (QS giải trình &amp; duyệt sửa BOQ)")),"")</f>
        <v/>
      </c>
    </row>
    <row r="504" ht="15.6" customHeight="1" s="75">
      <c r="A504" s="58" t="inlineStr">
        <is>
          <t>DHKK-C-I.3.2.0</t>
        </is>
      </c>
      <c r="B504" s="148" t="n">
        <v>46056</v>
      </c>
      <c r="C504" s="98" t="inlineStr">
        <is>
          <t>Cách nhiệt ống nước ngưng</t>
        </is>
      </c>
      <c r="D504" s="24" t="n"/>
      <c r="E504" s="24" t="n"/>
      <c r="F504" s="85" t="n"/>
      <c r="G504" s="85" t="n"/>
      <c r="H504" s="44" t="n"/>
      <c r="I504" s="137" t="n"/>
    </row>
    <row r="505" ht="15.6" customHeight="1" s="75">
      <c r="A505" s="58" t="inlineStr">
        <is>
          <t>DHKK-C-I.3.2.1</t>
        </is>
      </c>
      <c r="B505" s="24" t="n"/>
      <c r="C505" s="98" t="inlineStr">
        <is>
          <t>Bảo ôn ống nước ngưng Ø27 dày 13mm</t>
        </is>
      </c>
      <c r="D505" s="61" t="inlineStr">
        <is>
          <t>m</t>
        </is>
      </c>
      <c r="E505" s="61" t="inlineStr">
        <is>
          <t>m</t>
        </is>
      </c>
      <c r="F505" s="88" t="n">
        <v>32</v>
      </c>
      <c r="G505" s="85" t="n"/>
      <c r="H505" s="42">
        <f>IF(OR(ISNUMBER(F505),ISNUMBER(G505)),N(F505)-N(G505),"")</f>
        <v/>
      </c>
      <c r="I505" s="137" t="n"/>
      <c r="J505" s="117">
        <f>IF(OR(ISNUMBER(F505),ISNUMBER(G505)),IF(ISBLANK(G505),"⚠️ Chưa bóc tách định mức",IF(H505&gt;=0,"✅ OK - Cho phép đặt hàng","❌ CHẶN ĐẶT HÀNG - CẦN BẢO VỆ KL")),"")</f>
        <v/>
      </c>
      <c r="K505" s="138">
        <f>IF(OR(ISNUMBER(F505),ISNUMBER(G505)),IF(ISBLANK(G505),"Kỹ sư/Thầu phụ cần bóc tách KL bản vẽ",IF(H505&gt;=0,"Được đặt hàng tối đa "&amp;G505&amp;" "&amp;E505,"Vượt dự toán "&amp;ABS(H505)&amp;" "&amp;E505&amp;" (QS giải trình &amp; duyệt sửa BOQ)")),"")</f>
        <v/>
      </c>
    </row>
    <row r="506" ht="15.6" customHeight="1" s="75">
      <c r="A506" s="58" t="inlineStr">
        <is>
          <t>DHKK-C-I.3.2.2</t>
        </is>
      </c>
      <c r="B506" s="24" t="n"/>
      <c r="C506" s="98" t="inlineStr">
        <is>
          <t>Bảo ôn ống nước ngưng Ø34 dày 13mm</t>
        </is>
      </c>
      <c r="D506" s="61" t="inlineStr">
        <is>
          <t>m</t>
        </is>
      </c>
      <c r="E506" s="61" t="inlineStr">
        <is>
          <t>m</t>
        </is>
      </c>
      <c r="F506" s="88" t="n">
        <v>60</v>
      </c>
      <c r="G506" s="85" t="n"/>
      <c r="H506" s="42">
        <f>IF(OR(ISNUMBER(F506),ISNUMBER(G506)),N(F506)-N(G506),"")</f>
        <v/>
      </c>
      <c r="I506" s="137" t="n"/>
      <c r="J506" s="117">
        <f>IF(OR(ISNUMBER(F506),ISNUMBER(G506)),IF(ISBLANK(G506),"⚠️ Chưa bóc tách định mức",IF(H506&gt;=0,"✅ OK - Cho phép đặt hàng","❌ CHẶN ĐẶT HÀNG - CẦN BẢO VỆ KL")),"")</f>
        <v/>
      </c>
      <c r="K506" s="138">
        <f>IF(OR(ISNUMBER(F506),ISNUMBER(G506)),IF(ISBLANK(G506),"Kỹ sư/Thầu phụ cần bóc tách KL bản vẽ",IF(H506&gt;=0,"Được đặt hàng tối đa "&amp;G506&amp;" "&amp;E506,"Vượt dự toán "&amp;ABS(H506)&amp;" "&amp;E506&amp;" (QS giải trình &amp; duyệt sửa BOQ)")),"")</f>
        <v/>
      </c>
    </row>
    <row r="507" ht="15.6" customHeight="1" s="75">
      <c r="A507" s="58" t="inlineStr">
        <is>
          <t>DHKK-C-I.3.2.3</t>
        </is>
      </c>
      <c r="B507" s="24" t="n"/>
      <c r="C507" s="98" t="inlineStr">
        <is>
          <t>Bảo ôn ống nước ngưng Ø42 dày 13mm</t>
        </is>
      </c>
      <c r="D507" s="61" t="inlineStr">
        <is>
          <t>m</t>
        </is>
      </c>
      <c r="E507" s="61" t="inlineStr">
        <is>
          <t>m</t>
        </is>
      </c>
      <c r="F507" s="88" t="n">
        <v>4410</v>
      </c>
      <c r="G507" s="88" t="n">
        <v>4849</v>
      </c>
      <c r="H507" s="60">
        <f>IF(OR(ISNUMBER(F507),ISNUMBER(G507)),N(F507)-N(G507),"")</f>
        <v/>
      </c>
      <c r="I507" s="137" t="n"/>
      <c r="J507" s="117">
        <f>IF(OR(ISNUMBER(F507),ISNUMBER(G507)),IF(ISBLANK(G507),"⚠️ Chưa bóc tách định mức",IF(H507&gt;=0,"✅ OK - Cho phép đặt hàng","❌ CHẶN ĐẶT HÀNG - CẦN BẢO VỆ KL")),"")</f>
        <v/>
      </c>
      <c r="K507" s="138">
        <f>IF(OR(ISNUMBER(F507),ISNUMBER(G507)),IF(ISBLANK(G507),"Kỹ sư/Thầu phụ cần bóc tách KL bản vẽ",IF(H507&gt;=0,"Được đặt hàng tối đa "&amp;G507&amp;" "&amp;E507,"Vượt dự toán "&amp;ABS(H507)&amp;" "&amp;E507&amp;" (QS giải trình &amp; duyệt sửa BOQ)")),"")</f>
        <v/>
      </c>
    </row>
    <row r="508" ht="15.6" customHeight="1" s="75">
      <c r="A508" s="58" t="inlineStr">
        <is>
          <t>DHKK-C-I.3.2.4</t>
        </is>
      </c>
      <c r="B508" s="24" t="n"/>
      <c r="C508" s="98" t="inlineStr">
        <is>
          <t>Bảo ôn ống nước ngưng Ø114 dày 13mm</t>
        </is>
      </c>
      <c r="D508" s="61" t="inlineStr">
        <is>
          <t>m</t>
        </is>
      </c>
      <c r="E508" s="61" t="inlineStr">
        <is>
          <t>m</t>
        </is>
      </c>
      <c r="F508" s="88" t="n">
        <v>52</v>
      </c>
      <c r="G508" s="85" t="n"/>
      <c r="H508" s="42">
        <f>IF(OR(ISNUMBER(F508),ISNUMBER(G508)),N(F508)-N(G508),"")</f>
        <v/>
      </c>
      <c r="I508" s="137" t="n"/>
      <c r="J508" s="117">
        <f>IF(OR(ISNUMBER(F508),ISNUMBER(G508)),IF(ISBLANK(G508),"⚠️ Chưa bóc tách định mức",IF(H508&gt;=0,"✅ OK - Cho phép đặt hàng","❌ CHẶN ĐẶT HÀNG - CẦN BẢO VỆ KL")),"")</f>
        <v/>
      </c>
      <c r="K508" s="138">
        <f>IF(OR(ISNUMBER(F508),ISNUMBER(G508)),IF(ISBLANK(G508),"Kỹ sư/Thầu phụ cần bóc tách KL bản vẽ",IF(H508&gt;=0,"Được đặt hàng tối đa "&amp;G508&amp;" "&amp;E508,"Vượt dự toán "&amp;ABS(H508)&amp;" "&amp;E508&amp;" (QS giải trình &amp; duyệt sửa BOQ)")),"")</f>
        <v/>
      </c>
    </row>
    <row r="509" ht="15.6" customHeight="1" s="75">
      <c r="A509" s="58" t="inlineStr">
        <is>
          <t>DHKK-C-I.4.0</t>
        </is>
      </c>
      <c r="B509" s="37" t="n">
        <v>4</v>
      </c>
      <c r="C509" s="98" t="inlineStr">
        <is>
          <t>Phần điều khiển</t>
        </is>
      </c>
      <c r="D509" s="24" t="n"/>
      <c r="E509" s="24" t="n"/>
      <c r="F509" s="85" t="n"/>
      <c r="G509" s="85" t="n"/>
      <c r="H509" s="44" t="n"/>
      <c r="I509" s="137" t="n"/>
    </row>
    <row r="510" ht="15.6" customHeight="1" s="75">
      <c r="A510" s="58" t="inlineStr">
        <is>
          <t>DHKK-C-I.4.1</t>
        </is>
      </c>
      <c r="B510" s="24" t="n"/>
      <c r="C510" s="99" t="inlineStr">
        <is>
          <t>2Cx1.5mm2 Cu/PVC</t>
        </is>
      </c>
      <c r="D510" s="61" t="inlineStr">
        <is>
          <t>m</t>
        </is>
      </c>
      <c r="E510" s="61" t="inlineStr">
        <is>
          <t>m</t>
        </is>
      </c>
      <c r="F510" s="88" t="n">
        <v>31</v>
      </c>
      <c r="G510" s="85" t="n"/>
      <c r="H510" s="42">
        <f>IF(OR(ISNUMBER(F510),ISNUMBER(G510)),N(F510)-N(G510),"")</f>
        <v/>
      </c>
      <c r="I510" s="137" t="n"/>
      <c r="J510" s="117">
        <f>IF(OR(ISNUMBER(F510),ISNUMBER(G510)),IF(ISBLANK(G510),"⚠️ Chưa bóc tách định mức",IF(H510&gt;=0,"✅ OK - Cho phép đặt hàng","❌ CHẶN ĐẶT HÀNG - CẦN BẢO VỆ KL")),"")</f>
        <v/>
      </c>
      <c r="K510" s="138">
        <f>IF(OR(ISNUMBER(F510),ISNUMBER(G510)),IF(ISBLANK(G510),"Kỹ sư/Thầu phụ cần bóc tách KL bản vẽ",IF(H510&gt;=0,"Được đặt hàng tối đa "&amp;G510&amp;" "&amp;E510,"Vượt dự toán "&amp;ABS(H510)&amp;" "&amp;E510&amp;" (QS giải trình &amp; duyệt sửa BOQ)")),"")</f>
        <v/>
      </c>
    </row>
    <row r="511" ht="15.6" customHeight="1" s="75">
      <c r="A511" s="58" t="inlineStr">
        <is>
          <t>DHKK-C-I.4.2</t>
        </is>
      </c>
      <c r="B511" s="24" t="n"/>
      <c r="C511" s="99" t="inlineStr">
        <is>
          <t>4Cx1.5mm2 Cu/PVC</t>
        </is>
      </c>
      <c r="D511" s="61" t="inlineStr">
        <is>
          <t>m</t>
        </is>
      </c>
      <c r="E511" s="61" t="inlineStr">
        <is>
          <t>m</t>
        </is>
      </c>
      <c r="F511" s="88" t="n">
        <v>26</v>
      </c>
      <c r="G511" s="85" t="n"/>
      <c r="H511" s="42">
        <f>IF(OR(ISNUMBER(F511),ISNUMBER(G511)),N(F511)-N(G511),"")</f>
        <v/>
      </c>
      <c r="I511" s="137" t="n"/>
      <c r="J511" s="117">
        <f>IF(OR(ISNUMBER(F511),ISNUMBER(G511)),IF(ISBLANK(G511),"⚠️ Chưa bóc tách định mức",IF(H511&gt;=0,"✅ OK - Cho phép đặt hàng","❌ CHẶN ĐẶT HÀNG - CẦN BẢO VỆ KL")),"")</f>
        <v/>
      </c>
      <c r="K511" s="138">
        <f>IF(OR(ISNUMBER(F511),ISNUMBER(G511)),IF(ISBLANK(G511),"Kỹ sư/Thầu phụ cần bóc tách KL bản vẽ",IF(H511&gt;=0,"Được đặt hàng tối đa "&amp;G511&amp;" "&amp;E511,"Vượt dự toán "&amp;ABS(H511)&amp;" "&amp;E511&amp;" (QS giải trình &amp; duyệt sửa BOQ)")),"")</f>
        <v/>
      </c>
    </row>
    <row r="512" ht="15.6" customHeight="1" s="75">
      <c r="A512" s="58" t="inlineStr">
        <is>
          <t>DHKK-C-II</t>
        </is>
      </c>
      <c r="B512" s="33" t="inlineStr">
        <is>
          <t>II</t>
        </is>
      </c>
      <c r="C512" s="97" t="inlineStr">
        <is>
          <t>HỆ THỐNG THÔNG GIÓ HÚT KHÓI</t>
        </is>
      </c>
      <c r="D512" s="34" t="n"/>
      <c r="E512" s="34" t="n"/>
      <c r="F512" s="87" t="n"/>
      <c r="G512" s="87" t="n"/>
      <c r="H512" s="35" t="n"/>
      <c r="I512" s="144" t="n"/>
    </row>
    <row r="513" ht="15.6" customHeight="1" s="75">
      <c r="A513" s="58" t="inlineStr">
        <is>
          <t>DHKK-C-II.1.0</t>
        </is>
      </c>
      <c r="B513" s="37" t="n">
        <v>1</v>
      </c>
      <c r="C513" s="98" t="inlineStr">
        <is>
          <t>Quạt thông gió</t>
        </is>
      </c>
      <c r="D513" s="24" t="n"/>
      <c r="E513" s="24" t="n"/>
      <c r="F513" s="85" t="n"/>
      <c r="G513" s="85" t="n"/>
      <c r="H513" s="44" t="n"/>
      <c r="I513" s="137" t="n"/>
    </row>
    <row r="514" ht="56.1" customHeight="1" s="75">
      <c r="A514" s="58" t="inlineStr">
        <is>
          <t>DHKK-C-II.1.1</t>
        </is>
      </c>
      <c r="B514" s="24" t="n"/>
      <c r="C514" s="99" t="inlineStr">
        <is>
          <t>Quạt hút khói kiểu hướng trục nối ống gió ( Quạt chịu nhiệt độ 300 độ trong 1h) SEAF-A-R-01,03,04
 + Lưu lượng: 11250 l/s 
 + Áp suất: 700 Pa</t>
        </is>
      </c>
      <c r="D514" s="61" t="inlineStr">
        <is>
          <t>Bộ</t>
        </is>
      </c>
      <c r="E514" s="61" t="inlineStr">
        <is>
          <t>Bộ</t>
        </is>
      </c>
      <c r="F514" s="88" t="n">
        <v>3</v>
      </c>
      <c r="G514" s="88" t="n">
        <v>3</v>
      </c>
      <c r="H514" s="44">
        <f>IF(OR(ISNUMBER(F514),ISNUMBER(G514)),N(F514)-N(G514),"")</f>
        <v/>
      </c>
      <c r="I514" s="137" t="n"/>
      <c r="J514" s="117">
        <f>IF(OR(ISNUMBER(F514),ISNUMBER(G514)),IF(ISBLANK(G514),"⚠️ Chưa bóc tách định mức",IF(H514&gt;=0,"✅ OK - Cho phép đặt hàng","❌ CHẶN ĐẶT HÀNG - CẦN BẢO VỆ KL")),"")</f>
        <v/>
      </c>
      <c r="K514" s="138">
        <f>IF(OR(ISNUMBER(F514),ISNUMBER(G514)),IF(ISBLANK(G514),"Kỹ sư/Thầu phụ cần bóc tách KL bản vẽ",IF(H514&gt;=0,"Được đặt hàng tối đa "&amp;G514&amp;" "&amp;E514,"Vượt dự toán "&amp;ABS(H514)&amp;" "&amp;E514&amp;" (QS giải trình &amp; duyệt sửa BOQ)")),"")</f>
        <v/>
      </c>
    </row>
    <row r="515" ht="56.1" customHeight="1" s="75">
      <c r="A515" s="58" t="inlineStr">
        <is>
          <t>DHKK-C-II.1.2</t>
        </is>
      </c>
      <c r="B515" s="24" t="n"/>
      <c r="C515" s="99" t="inlineStr">
        <is>
          <t>Quạt hút khói kiểu hướng trục nối ống gió ( Quạt chịu nhiệt độ 300 độ trong 1h) SEAF-A-R-02
 + Lưu lượng: 7060 l/s 
 + Áp suất: 600 Pa</t>
        </is>
      </c>
      <c r="D515" s="61" t="inlineStr">
        <is>
          <t>Bộ</t>
        </is>
      </c>
      <c r="E515" s="61" t="inlineStr">
        <is>
          <t>Bộ</t>
        </is>
      </c>
      <c r="F515" s="88" t="n">
        <v>1</v>
      </c>
      <c r="G515" s="88" t="n">
        <v>1</v>
      </c>
      <c r="H515" s="44">
        <f>IF(OR(ISNUMBER(F515),ISNUMBER(G515)),N(F515)-N(G515),"")</f>
        <v/>
      </c>
      <c r="I515" s="137" t="n"/>
      <c r="J515" s="117">
        <f>IF(OR(ISNUMBER(F515),ISNUMBER(G515)),IF(ISBLANK(G515),"⚠️ Chưa bóc tách định mức",IF(H515&gt;=0,"✅ OK - Cho phép đặt hàng","❌ CHẶN ĐẶT HÀNG - CẦN BẢO VỆ KL")),"")</f>
        <v/>
      </c>
      <c r="K515" s="138">
        <f>IF(OR(ISNUMBER(F515),ISNUMBER(G515)),IF(ISBLANK(G515),"Kỹ sư/Thầu phụ cần bóc tách KL bản vẽ",IF(H515&gt;=0,"Được đặt hàng tối đa "&amp;G515&amp;" "&amp;E515,"Vượt dự toán "&amp;ABS(H515)&amp;" "&amp;E515&amp;" (QS giải trình &amp; duyệt sửa BOQ)")),"")</f>
        <v/>
      </c>
    </row>
    <row r="516" ht="56.1" customHeight="1" s="75">
      <c r="A516" s="58" t="inlineStr">
        <is>
          <t>DHKK-C-II.1.3</t>
        </is>
      </c>
      <c r="B516" s="24" t="n"/>
      <c r="C516" s="99" t="inlineStr">
        <is>
          <t>Quạt hút khói kiểu hướng trục nối ống gió ( Quạt chịu nhiệt độ 300 độ trong 1h) SEAF-B-R-01
 + Lưu lượng: 7060 l/s 
 + Áp suất: 700 Pa</t>
        </is>
      </c>
      <c r="D516" s="61" t="inlineStr">
        <is>
          <t>Bộ</t>
        </is>
      </c>
      <c r="E516" s="61" t="inlineStr">
        <is>
          <t>Bộ</t>
        </is>
      </c>
      <c r="F516" s="88" t="n">
        <v>0</v>
      </c>
      <c r="G516" s="85" t="n"/>
      <c r="H516" s="44">
        <f>IF(OR(ISNUMBER(F516),ISNUMBER(G516)),N(F516)-N(G516),"")</f>
        <v/>
      </c>
      <c r="I516" s="137" t="n"/>
      <c r="J516" s="117">
        <f>IF(OR(ISNUMBER(F516),ISNUMBER(G516)),IF(ISBLANK(G516),"⚠️ Chưa bóc tách định mức",IF(H516&gt;=0,"✅ OK - Cho phép đặt hàng","❌ CHẶN ĐẶT HÀNG - CẦN BẢO VỆ KL")),"")</f>
        <v/>
      </c>
      <c r="K516" s="138">
        <f>IF(OR(ISNUMBER(F516),ISNUMBER(G516)),IF(ISBLANK(G516),"Kỹ sư/Thầu phụ cần bóc tách KL bản vẽ",IF(H516&gt;=0,"Được đặt hàng tối đa "&amp;G516&amp;" "&amp;E516,"Vượt dự toán "&amp;ABS(H516)&amp;" "&amp;E516&amp;" (QS giải trình &amp; duyệt sửa BOQ)")),"")</f>
        <v/>
      </c>
    </row>
    <row r="517" ht="56.1" customHeight="1" s="75">
      <c r="A517" s="58" t="inlineStr">
        <is>
          <t>DHKK-C-II.1.4</t>
        </is>
      </c>
      <c r="B517" s="24" t="n"/>
      <c r="C517" s="99" t="inlineStr">
        <is>
          <t>Quạt hút khói kiểu hướng trục nối ống gió ( Quạt chịu nhiệt độ 300 độ trong 1h) SEAF-B-R-02
 + Lưu lượng: 11250 l/s 
 + Áp suất: 700 Pa</t>
        </is>
      </c>
      <c r="D517" s="61" t="inlineStr">
        <is>
          <t>Bộ</t>
        </is>
      </c>
      <c r="E517" s="61" t="inlineStr">
        <is>
          <t>Bộ</t>
        </is>
      </c>
      <c r="F517" s="88" t="n">
        <v>0</v>
      </c>
      <c r="G517" s="85" t="n"/>
      <c r="H517" s="44">
        <f>IF(OR(ISNUMBER(F517),ISNUMBER(G517)),N(F517)-N(G517),"")</f>
        <v/>
      </c>
      <c r="I517" s="137" t="n"/>
      <c r="J517" s="117">
        <f>IF(OR(ISNUMBER(F517),ISNUMBER(G517)),IF(ISBLANK(G517),"⚠️ Chưa bóc tách định mức",IF(H517&gt;=0,"✅ OK - Cho phép đặt hàng","❌ CHẶN ĐẶT HÀNG - CẦN BẢO VỆ KL")),"")</f>
        <v/>
      </c>
      <c r="K517" s="138">
        <f>IF(OR(ISNUMBER(F517),ISNUMBER(G517)),IF(ISBLANK(G517),"Kỹ sư/Thầu phụ cần bóc tách KL bản vẽ",IF(H517&gt;=0,"Được đặt hàng tối đa "&amp;G517&amp;" "&amp;E517,"Vượt dự toán "&amp;ABS(H517)&amp;" "&amp;E517&amp;" (QS giải trình &amp; duyệt sửa BOQ)")),"")</f>
        <v/>
      </c>
    </row>
    <row r="518" ht="56.1" customHeight="1" s="75">
      <c r="A518" s="58" t="inlineStr">
        <is>
          <t>DHKK-C-II.1.5</t>
        </is>
      </c>
      <c r="B518" s="24" t="n"/>
      <c r="C518" s="99" t="inlineStr">
        <is>
          <t>Quạt hút khói kiểu hướng trục nối ống gió ( Quạt chịu nhiệt độ 300 độ trong 1h) SEAF-B-R-03
 + Lưu lượng: 11250 l/s 
 + Áp suất: 800 Pa</t>
        </is>
      </c>
      <c r="D518" s="61" t="inlineStr">
        <is>
          <t>Bộ</t>
        </is>
      </c>
      <c r="E518" s="61" t="inlineStr">
        <is>
          <t>Bộ</t>
        </is>
      </c>
      <c r="F518" s="88" t="n">
        <v>0</v>
      </c>
      <c r="G518" s="85" t="n"/>
      <c r="H518" s="44">
        <f>IF(OR(ISNUMBER(F518),ISNUMBER(G518)),N(F518)-N(G518),"")</f>
        <v/>
      </c>
      <c r="I518" s="137" t="n"/>
      <c r="J518" s="117">
        <f>IF(OR(ISNUMBER(F518),ISNUMBER(G518)),IF(ISBLANK(G518),"⚠️ Chưa bóc tách định mức",IF(H518&gt;=0,"✅ OK - Cho phép đặt hàng","❌ CHẶN ĐẶT HÀNG - CẦN BẢO VỆ KL")),"")</f>
        <v/>
      </c>
      <c r="K518" s="138">
        <f>IF(OR(ISNUMBER(F518),ISNUMBER(G518)),IF(ISBLANK(G518),"Kỹ sư/Thầu phụ cần bóc tách KL bản vẽ",IF(H518&gt;=0,"Được đặt hàng tối đa "&amp;G518&amp;" "&amp;E518,"Vượt dự toán "&amp;ABS(H518)&amp;" "&amp;E518&amp;" (QS giải trình &amp; duyệt sửa BOQ)")),"")</f>
        <v/>
      </c>
    </row>
    <row r="519" ht="15.6" customHeight="1" s="75">
      <c r="A519" s="58" t="inlineStr">
        <is>
          <t>DHKK-C-II.1.6</t>
        </is>
      </c>
      <c r="B519" s="24" t="n"/>
      <c r="C519" s="99" t="inlineStr">
        <is>
          <t>Nối mềm chống cháy cho quạt</t>
        </is>
      </c>
      <c r="D519" s="61" t="inlineStr">
        <is>
          <t>Bộ</t>
        </is>
      </c>
      <c r="E519" s="61" t="inlineStr">
        <is>
          <t>Bộ</t>
        </is>
      </c>
      <c r="F519" s="88" t="n">
        <v>4</v>
      </c>
      <c r="G519" s="88" t="n">
        <v>4</v>
      </c>
      <c r="H519" s="44">
        <f>IF(OR(ISNUMBER(F519),ISNUMBER(G519)),N(F519)-N(G519),"")</f>
        <v/>
      </c>
      <c r="I519" s="142" t="inlineStr">
        <is>
          <t>1 bộ gồm 2 cái</t>
        </is>
      </c>
      <c r="J519" s="117">
        <f>IF(OR(ISNUMBER(F519),ISNUMBER(G519)),IF(ISBLANK(G519),"⚠️ Chưa bóc tách định mức",IF(H519&gt;=0,"✅ OK - Cho phép đặt hàng","❌ CHẶN ĐẶT HÀNG - CẦN BẢO VỆ KL")),"")</f>
        <v/>
      </c>
      <c r="K519" s="138">
        <f>IF(OR(ISNUMBER(F519),ISNUMBER(G519)),IF(ISBLANK(G519),"Kỹ sư/Thầu phụ cần bóc tách KL bản vẽ",IF(H519&gt;=0,"Được đặt hàng tối đa "&amp;G519&amp;" "&amp;E519,"Vượt dự toán "&amp;ABS(H519)&amp;" "&amp;E519&amp;" (QS giải trình &amp; duyệt sửa BOQ)")),"")</f>
        <v/>
      </c>
    </row>
    <row r="520" ht="13.8" customHeight="1" s="75">
      <c r="A520" s="80" t="n"/>
      <c r="B520" s="24" t="n"/>
      <c r="C520" s="101" t="n"/>
      <c r="D520" s="24" t="n"/>
      <c r="E520" s="24" t="n"/>
      <c r="F520" s="85" t="n"/>
      <c r="G520" s="85" t="n"/>
      <c r="H520" s="44" t="n"/>
      <c r="I520" s="137" t="n"/>
    </row>
    <row r="521" ht="15.6" customHeight="1" s="75">
      <c r="A521" s="58" t="inlineStr">
        <is>
          <t>DHKK-C-II.2.0</t>
        </is>
      </c>
      <c r="B521" s="37" t="n">
        <v>2</v>
      </c>
      <c r="C521" s="105" t="inlineStr">
        <is>
          <t>Miệng gió, van gió</t>
        </is>
      </c>
      <c r="D521" s="24" t="n"/>
      <c r="E521" s="24" t="n"/>
      <c r="F521" s="85" t="n"/>
      <c r="G521" s="85" t="n"/>
      <c r="H521" s="44" t="n"/>
      <c r="I521" s="137" t="n"/>
    </row>
    <row r="522" ht="15.6" customHeight="1" s="75">
      <c r="A522" s="58" t="inlineStr">
        <is>
          <t>DHKK-C-II.2.1</t>
        </is>
      </c>
      <c r="B522" s="24" t="n"/>
      <c r="C522" s="98" t="inlineStr">
        <is>
          <t>EAG 1200x400+OBD</t>
        </is>
      </c>
      <c r="D522" s="61" t="inlineStr">
        <is>
          <t>Cái</t>
        </is>
      </c>
      <c r="E522" s="61" t="inlineStr">
        <is>
          <t>Cái</t>
        </is>
      </c>
      <c r="F522" s="88" t="n">
        <v>207</v>
      </c>
      <c r="G522" s="88" t="n">
        <v>182</v>
      </c>
      <c r="H522" s="42">
        <f>IF(OR(ISNUMBER(F522),ISNUMBER(G522)),N(F522)-N(G522),"")</f>
        <v/>
      </c>
      <c r="I522" s="142" t="inlineStr">
        <is>
          <t>Miệng gió loại nan bầu dục 1 lớp nan kèm OBD</t>
        </is>
      </c>
      <c r="J522" s="117">
        <f>IF(OR(ISNUMBER(F522),ISNUMBER(G522)),IF(ISBLANK(G522),"⚠️ Chưa bóc tách định mức",IF(H522&gt;=0,"✅ OK - Cho phép đặt hàng","❌ CHẶN ĐẶT HÀNG - CẦN BẢO VỆ KL")),"")</f>
        <v/>
      </c>
      <c r="K522" s="138">
        <f>IF(OR(ISNUMBER(F522),ISNUMBER(G522)),IF(ISBLANK(G522),"Kỹ sư/Thầu phụ cần bóc tách KL bản vẽ",IF(H522&gt;=0,"Được đặt hàng tối đa "&amp;G522&amp;" "&amp;E522,"Vượt dự toán "&amp;ABS(H522)&amp;" "&amp;E522&amp;" (QS giải trình &amp; duyệt sửa BOQ)")),"")</f>
        <v/>
      </c>
    </row>
    <row r="523" ht="15.6" customHeight="1" s="75">
      <c r="A523" s="58" t="inlineStr">
        <is>
          <t>DHKK-C-II.2.2</t>
        </is>
      </c>
      <c r="B523" s="24" t="n"/>
      <c r="C523" s="98" t="inlineStr">
        <is>
          <t>MFD 1000x300</t>
        </is>
      </c>
      <c r="D523" s="61" t="inlineStr">
        <is>
          <t>Cái</t>
        </is>
      </c>
      <c r="E523" s="61" t="inlineStr">
        <is>
          <t>Cái</t>
        </is>
      </c>
      <c r="F523" s="88" t="n">
        <v>54</v>
      </c>
      <c r="G523" s="88" t="n">
        <v>52</v>
      </c>
      <c r="H523" s="42">
        <f>IF(OR(ISNUMBER(F523),ISNUMBER(G523)),N(F523)-N(G523),"")</f>
        <v/>
      </c>
      <c r="I523" s="142" t="inlineStr">
        <is>
          <t>EI60</t>
        </is>
      </c>
      <c r="J523" s="117">
        <f>IF(OR(ISNUMBER(F523),ISNUMBER(G523)),IF(ISBLANK(G523),"⚠️ Chưa bóc tách định mức",IF(H523&gt;=0,"✅ OK - Cho phép đặt hàng","❌ CHẶN ĐẶT HÀNG - CẦN BẢO VỆ KL")),"")</f>
        <v/>
      </c>
      <c r="K523" s="138">
        <f>IF(OR(ISNUMBER(F523),ISNUMBER(G523)),IF(ISBLANK(G523),"Kỹ sư/Thầu phụ cần bóc tách KL bản vẽ",IF(H523&gt;=0,"Được đặt hàng tối đa "&amp;G523&amp;" "&amp;E523,"Vượt dự toán "&amp;ABS(H523)&amp;" "&amp;E523&amp;" (QS giải trình &amp; duyệt sửa BOQ)")),"")</f>
        <v/>
      </c>
    </row>
    <row r="524" ht="15.6" customHeight="1" s="75">
      <c r="A524" s="58" t="inlineStr">
        <is>
          <t>DHKK-C-II.2.3</t>
        </is>
      </c>
      <c r="B524" s="24" t="n"/>
      <c r="C524" s="98" t="inlineStr">
        <is>
          <t>MFD 700x350</t>
        </is>
      </c>
      <c r="D524" s="61" t="inlineStr">
        <is>
          <t>Cái</t>
        </is>
      </c>
      <c r="E524" s="61" t="inlineStr">
        <is>
          <t>Cái</t>
        </is>
      </c>
      <c r="F524" s="88" t="n">
        <v>2</v>
      </c>
      <c r="G524" s="85" t="n"/>
      <c r="H524" s="42">
        <f>IF(OR(ISNUMBER(F524),ISNUMBER(G524)),N(F524)-N(G524),"")</f>
        <v/>
      </c>
      <c r="I524" s="142" t="inlineStr">
        <is>
          <t>EI60</t>
        </is>
      </c>
      <c r="J524" s="117">
        <f>IF(OR(ISNUMBER(F524),ISNUMBER(G524)),IF(ISBLANK(G524),"⚠️ Chưa bóc tách định mức",IF(H524&gt;=0,"✅ OK - Cho phép đặt hàng","❌ CHẶN ĐẶT HÀNG - CẦN BẢO VỆ KL")),"")</f>
        <v/>
      </c>
      <c r="K524" s="138">
        <f>IF(OR(ISNUMBER(F524),ISNUMBER(G524)),IF(ISBLANK(G524),"Kỹ sư/Thầu phụ cần bóc tách KL bản vẽ",IF(H524&gt;=0,"Được đặt hàng tối đa "&amp;G524&amp;" "&amp;E524,"Vượt dự toán "&amp;ABS(H524)&amp;" "&amp;E524&amp;" (QS giải trình &amp; duyệt sửa BOQ)")),"")</f>
        <v/>
      </c>
    </row>
    <row r="525" ht="15.6" customHeight="1" s="75">
      <c r="A525" s="58" t="inlineStr">
        <is>
          <t>DHKK-C-II.2.4</t>
        </is>
      </c>
      <c r="B525" s="24" t="n"/>
      <c r="C525" s="98" t="inlineStr">
        <is>
          <t>MFD 700x300</t>
        </is>
      </c>
      <c r="D525" s="61" t="inlineStr">
        <is>
          <t>Cái</t>
        </is>
      </c>
      <c r="E525" s="61" t="inlineStr">
        <is>
          <t>Cái</t>
        </is>
      </c>
      <c r="F525" s="88" t="n">
        <v>32</v>
      </c>
      <c r="G525" s="88" t="n">
        <v>26</v>
      </c>
      <c r="H525" s="42">
        <f>IF(OR(ISNUMBER(F525),ISNUMBER(G525)),N(F525)-N(G525),"")</f>
        <v/>
      </c>
      <c r="I525" s="142" t="inlineStr">
        <is>
          <t>EI60</t>
        </is>
      </c>
      <c r="J525" s="117">
        <f>IF(OR(ISNUMBER(F525),ISNUMBER(G525)),IF(ISBLANK(G525),"⚠️ Chưa bóc tách định mức",IF(H525&gt;=0,"✅ OK - Cho phép đặt hàng","❌ CHẶN ĐẶT HÀNG - CẦN BẢO VỆ KL")),"")</f>
        <v/>
      </c>
      <c r="K525" s="138">
        <f>IF(OR(ISNUMBER(F525),ISNUMBER(G525)),IF(ISBLANK(G525),"Kỹ sư/Thầu phụ cần bóc tách KL bản vẽ",IF(H525&gt;=0,"Được đặt hàng tối đa "&amp;G525&amp;" "&amp;E525,"Vượt dự toán "&amp;ABS(H525)&amp;" "&amp;E525&amp;" (QS giải trình &amp; duyệt sửa BOQ)")),"")</f>
        <v/>
      </c>
    </row>
    <row r="526" ht="15.6" customHeight="1" s="75">
      <c r="A526" s="58" t="inlineStr">
        <is>
          <t>DHKK-C-II.2.5</t>
        </is>
      </c>
      <c r="B526" s="24" t="n"/>
      <c r="C526" s="98" t="inlineStr">
        <is>
          <t>MFD 550x300</t>
        </is>
      </c>
      <c r="D526" s="61" t="inlineStr">
        <is>
          <t>Cái</t>
        </is>
      </c>
      <c r="E526" s="61" t="inlineStr">
        <is>
          <t>Cái</t>
        </is>
      </c>
      <c r="F526" s="88" t="n">
        <v>28</v>
      </c>
      <c r="G526" s="88" t="n">
        <v>26</v>
      </c>
      <c r="H526" s="42">
        <f>IF(OR(ISNUMBER(F526),ISNUMBER(G526)),N(F526)-N(G526),"")</f>
        <v/>
      </c>
      <c r="I526" s="142" t="inlineStr">
        <is>
          <t>EI60</t>
        </is>
      </c>
      <c r="J526" s="117">
        <f>IF(OR(ISNUMBER(F526),ISNUMBER(G526)),IF(ISBLANK(G526),"⚠️ Chưa bóc tách định mức",IF(H526&gt;=0,"✅ OK - Cho phép đặt hàng","❌ CHẶN ĐẶT HÀNG - CẦN BẢO VỆ KL")),"")</f>
        <v/>
      </c>
      <c r="K526" s="138">
        <f>IF(OR(ISNUMBER(F526),ISNUMBER(G526)),IF(ISBLANK(G526),"Kỹ sư/Thầu phụ cần bóc tách KL bản vẽ",IF(H526&gt;=0,"Được đặt hàng tối đa "&amp;G526&amp;" "&amp;E526,"Vượt dự toán "&amp;ABS(H526)&amp;" "&amp;E526&amp;" (QS giải trình &amp; duyệt sửa BOQ)")),"")</f>
        <v/>
      </c>
    </row>
    <row r="527" ht="15.6" customHeight="1" s="75">
      <c r="A527" s="58" t="inlineStr">
        <is>
          <t>DHKK-C-II.2.6</t>
        </is>
      </c>
      <c r="B527" s="24" t="n"/>
      <c r="C527" s="98" t="inlineStr">
        <is>
          <t>MFD 500x400</t>
        </is>
      </c>
      <c r="D527" s="61" t="inlineStr">
        <is>
          <t>Cái</t>
        </is>
      </c>
      <c r="E527" s="61" t="inlineStr">
        <is>
          <t>Cái</t>
        </is>
      </c>
      <c r="F527" s="88" t="n">
        <v>4</v>
      </c>
      <c r="G527" s="85" t="n"/>
      <c r="H527" s="42">
        <f>IF(OR(ISNUMBER(F527),ISNUMBER(G527)),N(F527)-N(G527),"")</f>
        <v/>
      </c>
      <c r="I527" s="142" t="inlineStr">
        <is>
          <t>EI60</t>
        </is>
      </c>
      <c r="J527" s="117">
        <f>IF(OR(ISNUMBER(F527),ISNUMBER(G527)),IF(ISBLANK(G527),"⚠️ Chưa bóc tách định mức",IF(H527&gt;=0,"✅ OK - Cho phép đặt hàng","❌ CHẶN ĐẶT HÀNG - CẦN BẢO VỆ KL")),"")</f>
        <v/>
      </c>
      <c r="K527" s="138">
        <f>IF(OR(ISNUMBER(F527),ISNUMBER(G527)),IF(ISBLANK(G527),"Kỹ sư/Thầu phụ cần bóc tách KL bản vẽ",IF(H527&gt;=0,"Được đặt hàng tối đa "&amp;G527&amp;" "&amp;E527,"Vượt dự toán "&amp;ABS(H527)&amp;" "&amp;E527&amp;" (QS giải trình &amp; duyệt sửa BOQ)")),"")</f>
        <v/>
      </c>
    </row>
    <row r="528" ht="15.6" customHeight="1" s="75">
      <c r="A528" s="58" t="inlineStr">
        <is>
          <t>DHKK-C-II.3.0</t>
        </is>
      </c>
      <c r="B528" s="37" t="n">
        <v>3</v>
      </c>
      <c r="C528" s="98" t="inlineStr">
        <is>
          <t>Ống gió</t>
        </is>
      </c>
      <c r="D528" s="24" t="n"/>
      <c r="E528" s="24" t="n"/>
      <c r="F528" s="85" t="n"/>
      <c r="G528" s="85" t="n"/>
      <c r="H528" s="44" t="n"/>
      <c r="I528" s="137" t="n"/>
    </row>
    <row r="529" ht="15.6" customHeight="1" s="75">
      <c r="A529" s="58" t="inlineStr">
        <is>
          <t>DHKK-C-II.3.1</t>
        </is>
      </c>
      <c r="B529" s="24" t="n"/>
      <c r="C529" s="98" t="inlineStr">
        <is>
          <t>Ống gió tole mạ kẽm dày 1.15mm</t>
        </is>
      </c>
      <c r="D529" s="61" t="inlineStr">
        <is>
          <t>m2</t>
        </is>
      </c>
      <c r="E529" s="61" t="inlineStr">
        <is>
          <t>m2</t>
        </is>
      </c>
      <c r="F529" s="88" t="n">
        <v>0</v>
      </c>
      <c r="G529" s="85" t="n"/>
      <c r="H529" s="44">
        <f>IF(OR(ISNUMBER(F529),ISNUMBER(G529)),N(F529)-N(G529),"")</f>
        <v/>
      </c>
      <c r="I529" s="137" t="n"/>
      <c r="J529" s="117">
        <f>IF(OR(ISNUMBER(F529),ISNUMBER(G529)),IF(ISBLANK(G529),"⚠️ Chưa bóc tách định mức",IF(H529&gt;=0,"✅ OK - Cho phép đặt hàng","❌ CHẶN ĐẶT HÀNG - CẦN BẢO VỆ KL")),"")</f>
        <v/>
      </c>
      <c r="K529" s="138">
        <f>IF(OR(ISNUMBER(F529),ISNUMBER(G529)),IF(ISBLANK(G529),"Kỹ sư/Thầu phụ cần bóc tách KL bản vẽ",IF(H529&gt;=0,"Được đặt hàng tối đa "&amp;G529&amp;" "&amp;E529,"Vượt dự toán "&amp;ABS(H529)&amp;" "&amp;E529&amp;" (QS giải trình &amp; duyệt sửa BOQ)")),"")</f>
        <v/>
      </c>
    </row>
    <row r="530" ht="15.6" customHeight="1" s="75">
      <c r="A530" s="58" t="inlineStr">
        <is>
          <t>DHKK-C-II.3.2</t>
        </is>
      </c>
      <c r="B530" s="24" t="n"/>
      <c r="C530" s="98" t="inlineStr">
        <is>
          <t>Ống gió tole mạ kẽm dày 0.95mm</t>
        </is>
      </c>
      <c r="D530" s="61" t="inlineStr">
        <is>
          <t>m2</t>
        </is>
      </c>
      <c r="E530" s="61" t="inlineStr">
        <is>
          <t>m2</t>
        </is>
      </c>
      <c r="F530" s="88" t="n">
        <v>762</v>
      </c>
      <c r="G530" s="88" t="n">
        <v>312</v>
      </c>
      <c r="H530" s="42">
        <f>IF(OR(ISNUMBER(F530),ISNUMBER(G530)),N(F530)-N(G530),"")</f>
        <v/>
      </c>
      <c r="I530" s="137" t="n"/>
      <c r="J530" s="117">
        <f>IF(OR(ISNUMBER(F530),ISNUMBER(G530)),IF(ISBLANK(G530),"⚠️ Chưa bóc tách định mức",IF(H530&gt;=0,"✅ OK - Cho phép đặt hàng","❌ CHẶN ĐẶT HÀNG - CẦN BẢO VỆ KL")),"")</f>
        <v/>
      </c>
      <c r="K530" s="138">
        <f>IF(OR(ISNUMBER(F530),ISNUMBER(G530)),IF(ISBLANK(G530),"Kỹ sư/Thầu phụ cần bóc tách KL bản vẽ",IF(H530&gt;=0,"Được đặt hàng tối đa "&amp;G530&amp;" "&amp;E530,"Vượt dự toán "&amp;ABS(H530)&amp;" "&amp;E530&amp;" (QS giải trình &amp; duyệt sửa BOQ)")),"")</f>
        <v/>
      </c>
    </row>
    <row r="531" ht="15.6" customHeight="1" s="75">
      <c r="A531" s="58" t="inlineStr">
        <is>
          <t>DHKK-C-II.3.2.1</t>
        </is>
      </c>
      <c r="B531" s="24" t="n"/>
      <c r="C531" s="99" t="inlineStr">
        <is>
          <t>Ống 1350x550 L1110</t>
        </is>
      </c>
      <c r="D531" s="61" t="inlineStr">
        <is>
          <t>Ống</t>
        </is>
      </c>
      <c r="E531" s="61" t="inlineStr">
        <is>
          <t>Ống</t>
        </is>
      </c>
      <c r="F531" s="88" t="n">
        <v>52</v>
      </c>
      <c r="G531" s="88" t="n">
        <v>52</v>
      </c>
      <c r="H531" s="44">
        <f>IF(OR(ISNUMBER(F531),ISNUMBER(G531)),N(F531)-N(G531),"")</f>
        <v/>
      </c>
      <c r="I531" s="137" t="n"/>
      <c r="J531" s="117">
        <f>IF(OR(ISNUMBER(F531),ISNUMBER(G531)),IF(ISBLANK(G531),"⚠️ Chưa bóc tách định mức",IF(H531&gt;=0,"✅ OK - Cho phép đặt hàng","❌ CHẶN ĐẶT HÀNG - CẦN BẢO VỆ KL")),"")</f>
        <v/>
      </c>
      <c r="K531" s="138">
        <f>IF(OR(ISNUMBER(F531),ISNUMBER(G531)),IF(ISBLANK(G531),"Kỹ sư/Thầu phụ cần bóc tách KL bản vẽ",IF(H531&gt;=0,"Được đặt hàng tối đa "&amp;G531&amp;" "&amp;E531,"Vượt dự toán "&amp;ABS(H531)&amp;" "&amp;E531&amp;" (QS giải trình &amp; duyệt sửa BOQ)")),"")</f>
        <v/>
      </c>
    </row>
    <row r="532" ht="15.6" customHeight="1" s="75">
      <c r="A532" s="58" t="inlineStr">
        <is>
          <t>DHKK-C-II.3.2.2</t>
        </is>
      </c>
      <c r="B532" s="24" t="n"/>
      <c r="C532" s="99" t="inlineStr">
        <is>
          <t>Ống 1350x550 L940</t>
        </is>
      </c>
      <c r="D532" s="61" t="inlineStr">
        <is>
          <t>Ống</t>
        </is>
      </c>
      <c r="E532" s="61" t="inlineStr">
        <is>
          <t>Ống</t>
        </is>
      </c>
      <c r="F532" s="88" t="n">
        <v>26</v>
      </c>
      <c r="G532" s="88" t="n">
        <v>26</v>
      </c>
      <c r="H532" s="44">
        <f>IF(OR(ISNUMBER(F532),ISNUMBER(G532)),N(F532)-N(G532),"")</f>
        <v/>
      </c>
      <c r="I532" s="137" t="n"/>
      <c r="J532" s="117">
        <f>IF(OR(ISNUMBER(F532),ISNUMBER(G532)),IF(ISBLANK(G532),"⚠️ Chưa bóc tách định mức",IF(H532&gt;=0,"✅ OK - Cho phép đặt hàng","❌ CHẶN ĐẶT HÀNG - CẦN BẢO VỆ KL")),"")</f>
        <v/>
      </c>
      <c r="K532" s="138">
        <f>IF(OR(ISNUMBER(F532),ISNUMBER(G532)),IF(ISBLANK(G532),"Kỹ sư/Thầu phụ cần bóc tách KL bản vẽ",IF(H532&gt;=0,"Được đặt hàng tối đa "&amp;G532&amp;" "&amp;E532,"Vượt dự toán "&amp;ABS(H532)&amp;" "&amp;E532&amp;" (QS giải trình &amp; duyệt sửa BOQ)")),"")</f>
        <v/>
      </c>
    </row>
    <row r="533" ht="15.6" customHeight="1" s="75">
      <c r="A533" s="58" t="inlineStr">
        <is>
          <t>DHKK-C-II.30F</t>
        </is>
      </c>
      <c r="B533" s="24" t="n"/>
      <c r="C533" s="99" t="inlineStr">
        <is>
          <t>Ống Trục Tầng 30F-RF</t>
        </is>
      </c>
      <c r="D533" s="61" t="n"/>
      <c r="E533" s="61" t="n"/>
      <c r="F533" s="88" t="n"/>
      <c r="G533" s="88" t="n"/>
      <c r="H533" s="44" t="n"/>
      <c r="I533" s="137" t="n"/>
    </row>
    <row r="534" ht="15.6" customHeight="1" s="75">
      <c r="A534" s="58" t="inlineStr">
        <is>
          <t>DHKK-C-II.3.2.3</t>
        </is>
      </c>
      <c r="B534" s="24" t="n"/>
      <c r="C534" s="99" t="inlineStr">
        <is>
          <t>Ống 1300x700x L1110</t>
        </is>
      </c>
      <c r="D534" s="61" t="n"/>
      <c r="E534" s="61" t="inlineStr">
        <is>
          <t>Ống</t>
        </is>
      </c>
      <c r="F534" s="88" t="n">
        <v>7</v>
      </c>
      <c r="G534" s="88" t="n">
        <v>7</v>
      </c>
      <c r="H534" s="44">
        <f>IF(OR(ISNUMBER(F534),ISNUMBER(G534)),N(F534)-N(G534),"")</f>
        <v/>
      </c>
      <c r="I534" s="137" t="n"/>
      <c r="J534" s="117">
        <f>IF(OR(ISNUMBER(F534),ISNUMBER(G534)),IF(ISBLANK(G534),"⚠️ Chưa bóc tách định mức",IF(H534&gt;=0,"✅ OK - Cho phép đặt hàng","❌ CHẶN ĐẶT HÀNG - CẦN BẢO VỆ KL")),"")</f>
        <v/>
      </c>
      <c r="K534" s="138">
        <f>IF(OR(ISNUMBER(F534),ISNUMBER(G534)),IF(ISBLANK(G534),"Kỹ sư/Thầu phụ cần bóc tách KL bản vẽ",IF(H534&gt;=0,"Được đặt hàng tối đa "&amp;G534&amp;" "&amp;E534,"Vượt dự toán "&amp;ABS(H534)&amp;" "&amp;E534&amp;" (QS giải trình &amp; duyệt sửa BOQ)")),"")</f>
        <v/>
      </c>
    </row>
    <row r="535" ht="15.6" customHeight="1" s="75">
      <c r="A535" s="58" t="inlineStr">
        <is>
          <t>DHKK-C-II.3.2.4</t>
        </is>
      </c>
      <c r="B535" s="24" t="n"/>
      <c r="C535" s="99" t="inlineStr">
        <is>
          <t>Ống 1300x700x L840</t>
        </is>
      </c>
      <c r="D535" s="61" t="n"/>
      <c r="E535" s="61" t="inlineStr">
        <is>
          <t>Ống</t>
        </is>
      </c>
      <c r="F535" s="88" t="n">
        <v>1</v>
      </c>
      <c r="G535" s="88" t="n">
        <v>1</v>
      </c>
      <c r="H535" s="44">
        <f>IF(OR(ISNUMBER(F535),ISNUMBER(G535)),N(F535)-N(G535),"")</f>
        <v/>
      </c>
      <c r="I535" s="137" t="n"/>
      <c r="J535" s="117">
        <f>IF(OR(ISNUMBER(F535),ISNUMBER(G535)),IF(ISBLANK(G535),"⚠️ Chưa bóc tách định mức",IF(H535&gt;=0,"✅ OK - Cho phép đặt hàng","❌ CHẶN ĐẶT HÀNG - CẦN BẢO VỆ KL")),"")</f>
        <v/>
      </c>
      <c r="K535" s="138">
        <f>IF(OR(ISNUMBER(F535),ISNUMBER(G535)),IF(ISBLANK(G535),"Kỹ sư/Thầu phụ cần bóc tách KL bản vẽ",IF(H535&gt;=0,"Được đặt hàng tối đa "&amp;G535&amp;" "&amp;E535,"Vượt dự toán "&amp;ABS(H535)&amp;" "&amp;E535&amp;" (QS giải trình &amp; duyệt sửa BOQ)")),"")</f>
        <v/>
      </c>
    </row>
    <row r="536" ht="15.6" customHeight="1" s="75">
      <c r="A536" s="58" t="inlineStr">
        <is>
          <t>DHKK-C-II.3.2.5</t>
        </is>
      </c>
      <c r="B536" s="24" t="n"/>
      <c r="C536" s="99" t="inlineStr">
        <is>
          <t>Ống 1300x700x L460</t>
        </is>
      </c>
      <c r="D536" s="61" t="n"/>
      <c r="E536" s="61" t="inlineStr">
        <is>
          <t>Ống</t>
        </is>
      </c>
      <c r="F536" s="88" t="n">
        <v>1</v>
      </c>
      <c r="G536" s="88" t="n">
        <v>1</v>
      </c>
      <c r="H536" s="44">
        <f>IF(OR(ISNUMBER(F536),ISNUMBER(G536)),N(F536)-N(G536),"")</f>
        <v/>
      </c>
      <c r="I536" s="137" t="n"/>
      <c r="J536" s="117">
        <f>IF(OR(ISNUMBER(F536),ISNUMBER(G536)),IF(ISBLANK(G536),"⚠️ Chưa bóc tách định mức",IF(H536&gt;=0,"✅ OK - Cho phép đặt hàng","❌ CHẶN ĐẶT HÀNG - CẦN BẢO VỆ KL")),"")</f>
        <v/>
      </c>
      <c r="K536" s="138">
        <f>IF(OR(ISNUMBER(F536),ISNUMBER(G536)),IF(ISBLANK(G536),"Kỹ sư/Thầu phụ cần bóc tách KL bản vẽ",IF(H536&gt;=0,"Được đặt hàng tối đa "&amp;G536&amp;" "&amp;E536,"Vượt dự toán "&amp;ABS(H536)&amp;" "&amp;E536&amp;" (QS giải trình &amp; duyệt sửa BOQ)")),"")</f>
        <v/>
      </c>
    </row>
    <row r="537" ht="15.6" customHeight="1" s="75">
      <c r="A537" s="58" t="inlineStr">
        <is>
          <t>DHKK-C-II.3.2.6</t>
        </is>
      </c>
      <c r="B537" s="24" t="n"/>
      <c r="C537" s="99" t="inlineStr">
        <is>
          <t>Ống 1300x700x L</t>
        </is>
      </c>
      <c r="D537" s="61" t="n"/>
      <c r="E537" s="61" t="inlineStr">
        <is>
          <t>Ống</t>
        </is>
      </c>
      <c r="F537" s="88" t="n">
        <v>2</v>
      </c>
      <c r="G537" s="88" t="n">
        <v>2</v>
      </c>
      <c r="H537" s="44">
        <f>IF(OR(ISNUMBER(F537),ISNUMBER(G537)),N(F537)-N(G537),"")</f>
        <v/>
      </c>
      <c r="I537" s="137" t="n"/>
      <c r="J537" s="117">
        <f>IF(OR(ISNUMBER(F537),ISNUMBER(G537)),IF(ISBLANK(G537),"⚠️ Chưa bóc tách định mức",IF(H537&gt;=0,"✅ OK - Cho phép đặt hàng","❌ CHẶN ĐẶT HÀNG - CẦN BẢO VỆ KL")),"")</f>
        <v/>
      </c>
      <c r="K537" s="138">
        <f>IF(OR(ISNUMBER(F537),ISNUMBER(G537)),IF(ISBLANK(G537),"Kỹ sư/Thầu phụ cần bóc tách KL bản vẽ",IF(H537&gt;=0,"Được đặt hàng tối đa "&amp;G537&amp;" "&amp;E537,"Vượt dự toán "&amp;ABS(H537)&amp;" "&amp;E537&amp;" (QS giải trình &amp; duyệt sửa BOQ)")),"")</f>
        <v/>
      </c>
    </row>
    <row r="538" ht="15.6" customHeight="1" s="75">
      <c r="A538" s="58" t="inlineStr">
        <is>
          <t>DHKK-C-II.3.2.7</t>
        </is>
      </c>
      <c r="B538" s="24" t="n"/>
      <c r="C538" s="99" t="inlineStr">
        <is>
          <t>Co 90  độ 700x1300x R190</t>
        </is>
      </c>
      <c r="D538" s="61" t="n"/>
      <c r="E538" s="61" t="inlineStr">
        <is>
          <t>Cái</t>
        </is>
      </c>
      <c r="F538" s="88" t="n">
        <v>1</v>
      </c>
      <c r="G538" s="88" t="n">
        <v>1</v>
      </c>
      <c r="H538" s="44">
        <f>IF(OR(ISNUMBER(F538),ISNUMBER(G538)),N(F538)-N(G538),"")</f>
        <v/>
      </c>
      <c r="I538" s="137" t="n"/>
      <c r="J538" s="117">
        <f>IF(OR(ISNUMBER(F538),ISNUMBER(G538)),IF(ISBLANK(G538),"⚠️ Chưa bóc tách định mức",IF(H538&gt;=0,"✅ OK - Cho phép đặt hàng","❌ CHẶN ĐẶT HÀNG - CẦN BẢO VỆ KL")),"")</f>
        <v/>
      </c>
      <c r="K538" s="138">
        <f>IF(OR(ISNUMBER(F538),ISNUMBER(G538)),IF(ISBLANK(G538),"Kỹ sư/Thầu phụ cần bóc tách KL bản vẽ",IF(H538&gt;=0,"Được đặt hàng tối đa "&amp;G538&amp;" "&amp;E538,"Vượt dự toán "&amp;ABS(H538)&amp;" "&amp;E538&amp;" (QS giải trình &amp; duyệt sửa BOQ)")),"")</f>
        <v/>
      </c>
    </row>
    <row r="539" ht="15.6" customHeight="1" s="75">
      <c r="A539" s="58" t="inlineStr">
        <is>
          <t>DHKK-C-II.3.2.8</t>
        </is>
      </c>
      <c r="B539" s="24" t="n"/>
      <c r="C539" s="99" t="inlineStr">
        <is>
          <t>Lượn 700x1300 L200 E100</t>
        </is>
      </c>
      <c r="D539" s="61" t="n"/>
      <c r="E539" s="61" t="inlineStr">
        <is>
          <t>Cái</t>
        </is>
      </c>
      <c r="F539" s="88" t="n">
        <v>1</v>
      </c>
      <c r="G539" s="88" t="n">
        <v>1</v>
      </c>
      <c r="H539" s="44">
        <f>IF(OR(ISNUMBER(F539),ISNUMBER(G539)),N(F539)-N(G539),"")</f>
        <v/>
      </c>
      <c r="I539" s="137" t="n"/>
      <c r="J539" s="117">
        <f>IF(OR(ISNUMBER(F539),ISNUMBER(G539)),IF(ISBLANK(G539),"⚠️ Chưa bóc tách định mức",IF(H539&gt;=0,"✅ OK - Cho phép đặt hàng","❌ CHẶN ĐẶT HÀNG - CẦN BẢO VỆ KL")),"")</f>
        <v/>
      </c>
      <c r="K539" s="138">
        <f>IF(OR(ISNUMBER(F539),ISNUMBER(G539)),IF(ISBLANK(G539),"Kỹ sư/Thầu phụ cần bóc tách KL bản vẽ",IF(H539&gt;=0,"Được đặt hàng tối đa "&amp;G539&amp;" "&amp;E539,"Vượt dự toán "&amp;ABS(H539)&amp;" "&amp;E539&amp;" (QS giải trình &amp; duyệt sửa BOQ)")),"")</f>
        <v/>
      </c>
    </row>
    <row r="540" ht="15.6" customHeight="1" s="75">
      <c r="A540" s="58" t="inlineStr">
        <is>
          <t>DHKK-C-II.3.2.9</t>
        </is>
      </c>
      <c r="B540" s="24" t="n"/>
      <c r="C540" s="99" t="inlineStr">
        <is>
          <t>Ống 1350x550x L1110</t>
        </is>
      </c>
      <c r="D540" s="61" t="n"/>
      <c r="E540" s="61" t="inlineStr">
        <is>
          <t>Ống</t>
        </is>
      </c>
      <c r="F540" s="88" t="n">
        <v>8</v>
      </c>
      <c r="G540" s="88" t="n">
        <v>8</v>
      </c>
      <c r="H540" s="44">
        <f>IF(OR(ISNUMBER(F540),ISNUMBER(G540)),N(F540)-N(G540),"")</f>
        <v/>
      </c>
      <c r="I540" s="137" t="n"/>
      <c r="J540" s="117">
        <f>IF(OR(ISNUMBER(F540),ISNUMBER(G540)),IF(ISBLANK(G540),"⚠️ Chưa bóc tách định mức",IF(H540&gt;=0,"✅ OK - Cho phép đặt hàng","❌ CHẶN ĐẶT HÀNG - CẦN BẢO VỆ KL")),"")</f>
        <v/>
      </c>
      <c r="K540" s="138">
        <f>IF(OR(ISNUMBER(F540),ISNUMBER(G540)),IF(ISBLANK(G540),"Kỹ sư/Thầu phụ cần bóc tách KL bản vẽ",IF(H540&gt;=0,"Được đặt hàng tối đa "&amp;G540&amp;" "&amp;E540,"Vượt dự toán "&amp;ABS(H540)&amp;" "&amp;E540&amp;" (QS giải trình &amp; duyệt sửa BOQ)")),"")</f>
        <v/>
      </c>
    </row>
    <row r="541" ht="15.6" customHeight="1" s="75">
      <c r="A541" s="58" t="inlineStr">
        <is>
          <t>DHKK-C-II.3.2.10</t>
        </is>
      </c>
      <c r="B541" s="24" t="n"/>
      <c r="C541" s="99" t="inlineStr">
        <is>
          <t>Ống 1350x550x L</t>
        </is>
      </c>
      <c r="D541" s="61" t="n"/>
      <c r="E541" s="61" t="inlineStr">
        <is>
          <t>Ống</t>
        </is>
      </c>
      <c r="F541" s="88" t="n">
        <v>1</v>
      </c>
      <c r="G541" s="88" t="n">
        <v>1</v>
      </c>
      <c r="H541" s="44">
        <f>IF(OR(ISNUMBER(F541),ISNUMBER(G541)),N(F541)-N(G541),"")</f>
        <v/>
      </c>
      <c r="I541" s="137" t="n"/>
      <c r="J541" s="117">
        <f>IF(OR(ISNUMBER(F541),ISNUMBER(G541)),IF(ISBLANK(G541),"⚠️ Chưa bóc tách định mức",IF(H541&gt;=0,"✅ OK - Cho phép đặt hàng","❌ CHẶN ĐẶT HÀNG - CẦN BẢO VỆ KL")),"")</f>
        <v/>
      </c>
      <c r="K541" s="138">
        <f>IF(OR(ISNUMBER(F541),ISNUMBER(G541)),IF(ISBLANK(G541),"Kỹ sư/Thầu phụ cần bóc tách KL bản vẽ",IF(H541&gt;=0,"Được đặt hàng tối đa "&amp;G541&amp;" "&amp;E541,"Vượt dự toán "&amp;ABS(H541)&amp;" "&amp;E541&amp;" (QS giải trình &amp; duyệt sửa BOQ)")),"")</f>
        <v/>
      </c>
    </row>
    <row r="542" ht="28.5" customHeight="1" s="75">
      <c r="A542" s="58" t="inlineStr">
        <is>
          <t>DHKK-C-II.3.2.11</t>
        </is>
      </c>
      <c r="B542" s="24" t="n"/>
      <c r="C542" s="99" t="inlineStr">
        <is>
          <t>Co 90 độ 550x1350x R150, 1 đầu thêm đoạn ống thẳng L150</t>
        </is>
      </c>
      <c r="D542" s="61" t="n"/>
      <c r="E542" s="61" t="inlineStr">
        <is>
          <t>Cái</t>
        </is>
      </c>
      <c r="F542" s="88" t="n">
        <v>1</v>
      </c>
      <c r="G542" s="88" t="n">
        <v>1</v>
      </c>
      <c r="H542" s="44">
        <f>IF(OR(ISNUMBER(F542),ISNUMBER(G542)),N(F542)-N(G542),"")</f>
        <v/>
      </c>
      <c r="I542" s="137" t="n"/>
      <c r="J542" s="117">
        <f>IF(OR(ISNUMBER(F542),ISNUMBER(G542)),IF(ISBLANK(G542),"⚠️ Chưa bóc tách định mức",IF(H542&gt;=0,"✅ OK - Cho phép đặt hàng","❌ CHẶN ĐẶT HÀNG - CẦN BẢO VỆ KL")),"")</f>
        <v/>
      </c>
      <c r="K542" s="138">
        <f>IF(OR(ISNUMBER(F542),ISNUMBER(G542)),IF(ISBLANK(G542),"Kỹ sư/Thầu phụ cần bóc tách KL bản vẽ",IF(H542&gt;=0,"Được đặt hàng tối đa "&amp;G542&amp;" "&amp;E542,"Vượt dự toán "&amp;ABS(H542)&amp;" "&amp;E542&amp;" (QS giải trình &amp; duyệt sửa BOQ)")),"")</f>
        <v/>
      </c>
    </row>
    <row r="543" ht="28.5" customHeight="1" s="75">
      <c r="A543" s="58" t="inlineStr">
        <is>
          <t>DHKK-C-II.3.2.12</t>
        </is>
      </c>
      <c r="B543" s="24" t="n"/>
      <c r="C543" s="99" t="inlineStr">
        <is>
          <t>Lượn 1350x550 L200, Lượn --&gt; Phải E50, Lượn --&gt; lên 90</t>
        </is>
      </c>
      <c r="D543" s="61" t="n"/>
      <c r="E543" s="61" t="inlineStr">
        <is>
          <t>Cái</t>
        </is>
      </c>
      <c r="F543" s="88" t="n">
        <v>1</v>
      </c>
      <c r="G543" s="88" t="n">
        <v>1</v>
      </c>
      <c r="H543" s="44">
        <f>IF(OR(ISNUMBER(F543),ISNUMBER(G543)),N(F543)-N(G543),"")</f>
        <v/>
      </c>
      <c r="I543" s="137" t="n"/>
      <c r="J543" s="117">
        <f>IF(OR(ISNUMBER(F543),ISNUMBER(G543)),IF(ISBLANK(G543),"⚠️ Chưa bóc tách định mức",IF(H543&gt;=0,"✅ OK - Cho phép đặt hàng","❌ CHẶN ĐẶT HÀNG - CẦN BẢO VỆ KL")),"")</f>
        <v/>
      </c>
      <c r="K543" s="138">
        <f>IF(OR(ISNUMBER(F543),ISNUMBER(G543)),IF(ISBLANK(G543),"Kỹ sư/Thầu phụ cần bóc tách KL bản vẽ",IF(H543&gt;=0,"Được đặt hàng tối đa "&amp;G543&amp;" "&amp;E543,"Vượt dự toán "&amp;ABS(H543)&amp;" "&amp;E543&amp;" (QS giải trình &amp; duyệt sửa BOQ)")),"")</f>
        <v/>
      </c>
    </row>
    <row r="544" ht="15.6" customHeight="1" s="75">
      <c r="A544" s="58" t="inlineStr">
        <is>
          <t>DHKK-C-II.3.2.13</t>
        </is>
      </c>
      <c r="B544" s="24" t="n"/>
      <c r="C544" s="99" t="n"/>
      <c r="D544" s="61" t="n"/>
      <c r="E544" s="61" t="n"/>
      <c r="F544" s="88" t="n"/>
      <c r="G544" s="88" t="n"/>
      <c r="H544" s="44" t="n"/>
      <c r="I544" s="137" t="n"/>
    </row>
    <row r="545" ht="15.6" customHeight="1" s="75">
      <c r="A545" s="58" t="n"/>
      <c r="B545" s="24" t="n"/>
      <c r="C545" s="99" t="n"/>
      <c r="D545" s="61" t="n"/>
      <c r="E545" s="61" t="n"/>
      <c r="F545" s="88" t="n"/>
      <c r="G545" s="88" t="n"/>
      <c r="H545" s="44" t="n"/>
      <c r="I545" s="137" t="n"/>
    </row>
    <row r="546" ht="15.6" customHeight="1" s="75">
      <c r="A546" s="58" t="inlineStr">
        <is>
          <t>DHKK-C-II.3.3.0</t>
        </is>
      </c>
      <c r="B546" s="24" t="n"/>
      <c r="C546" s="98" t="inlineStr">
        <is>
          <t>Ống gió tole mạ kẽm dày 0.75mm</t>
        </is>
      </c>
      <c r="D546" s="61" t="inlineStr">
        <is>
          <t>m2</t>
        </is>
      </c>
      <c r="E546" s="61" t="inlineStr">
        <is>
          <t>m2</t>
        </is>
      </c>
      <c r="F546" s="88" t="n">
        <v>780</v>
      </c>
      <c r="G546" s="88" t="n">
        <v>948</v>
      </c>
      <c r="H546" s="60">
        <f>IF(OR(ISNUMBER(F546),ISNUMBER(G546)),N(F546)-N(G546),"")</f>
        <v/>
      </c>
      <c r="I546" s="137" t="n"/>
      <c r="J546" s="117">
        <f>IF(OR(ISNUMBER(F546),ISNUMBER(G546)),IF(ISBLANK(G546),"⚠️ Chưa bóc tách định mức",IF(H546&gt;=0,"✅ OK - Cho phép đặt hàng","❌ CHẶN ĐẶT HÀNG - CẦN BẢO VỆ KL")),"")</f>
        <v/>
      </c>
      <c r="K546" s="138">
        <f>IF(OR(ISNUMBER(F546),ISNUMBER(G546)),IF(ISBLANK(G546),"Kỹ sư/Thầu phụ cần bóc tách KL bản vẽ",IF(H546&gt;=0,"Được đặt hàng tối đa "&amp;G546&amp;" "&amp;E546,"Vượt dự toán "&amp;ABS(H546)&amp;" "&amp;E546&amp;" (QS giải trình &amp; duyệt sửa BOQ)")),"")</f>
        <v/>
      </c>
    </row>
    <row r="547" ht="15.6" customHeight="1" s="75">
      <c r="A547" s="58" t="inlineStr">
        <is>
          <t>DHKK-C-II.3.3.1</t>
        </is>
      </c>
      <c r="B547" s="24" t="n"/>
      <c r="C547" s="99" t="inlineStr">
        <is>
          <t>Ống 1200x700 L1110</t>
        </is>
      </c>
      <c r="D547" s="61" t="inlineStr">
        <is>
          <t>Ống</t>
        </is>
      </c>
      <c r="E547" s="61" t="inlineStr">
        <is>
          <t>Ống</t>
        </is>
      </c>
      <c r="F547" s="88" t="n">
        <v>52</v>
      </c>
      <c r="G547" s="88" t="n">
        <v>52</v>
      </c>
      <c r="H547" s="44">
        <f>IF(OR(ISNUMBER(F547),ISNUMBER(G547)),N(F547)-N(G547),"")</f>
        <v/>
      </c>
      <c r="I547" s="137" t="n"/>
      <c r="J547" s="117">
        <f>IF(OR(ISNUMBER(F547),ISNUMBER(G547)),IF(ISBLANK(G547),"⚠️ Chưa bóc tách định mức",IF(H547&gt;=0,"✅ OK - Cho phép đặt hàng","❌ CHẶN ĐẶT HÀNG - CẦN BẢO VỆ KL")),"")</f>
        <v/>
      </c>
      <c r="K547" s="138">
        <f>IF(OR(ISNUMBER(F547),ISNUMBER(G547)),IF(ISBLANK(G547),"Kỹ sư/Thầu phụ cần bóc tách KL bản vẽ",IF(H547&gt;=0,"Được đặt hàng tối đa "&amp;G547&amp;" "&amp;E547,"Vượt dự toán "&amp;ABS(H547)&amp;" "&amp;E547&amp;" (QS giải trình &amp; duyệt sửa BOQ)")),"")</f>
        <v/>
      </c>
    </row>
    <row r="548" ht="15.6" customHeight="1" s="75">
      <c r="A548" s="58" t="inlineStr">
        <is>
          <t>DHKK-C-II.3.3.2</t>
        </is>
      </c>
      <c r="B548" s="24" t="n"/>
      <c r="C548" s="99" t="inlineStr">
        <is>
          <t>Ống 1200x700 L940</t>
        </is>
      </c>
      <c r="D548" s="61" t="inlineStr">
        <is>
          <t>Ống</t>
        </is>
      </c>
      <c r="E548" s="61" t="inlineStr">
        <is>
          <t>Ống</t>
        </is>
      </c>
      <c r="F548" s="88" t="n">
        <v>26</v>
      </c>
      <c r="G548" s="88" t="n">
        <v>26</v>
      </c>
      <c r="H548" s="44">
        <f>IF(OR(ISNUMBER(F548),ISNUMBER(G548)),N(F548)-N(G548),"")</f>
        <v/>
      </c>
      <c r="I548" s="137" t="n"/>
      <c r="J548" s="117">
        <f>IF(OR(ISNUMBER(F548),ISNUMBER(G548)),IF(ISBLANK(G548),"⚠️ Chưa bóc tách định mức",IF(H548&gt;=0,"✅ OK - Cho phép đặt hàng","❌ CHẶN ĐẶT HÀNG - CẦN BẢO VỆ KL")),"")</f>
        <v/>
      </c>
      <c r="K548" s="138">
        <f>IF(OR(ISNUMBER(F548),ISNUMBER(G548)),IF(ISBLANK(G548),"Kỹ sư/Thầu phụ cần bóc tách KL bản vẽ",IF(H548&gt;=0,"Được đặt hàng tối đa "&amp;G548&amp;" "&amp;E548,"Vượt dự toán "&amp;ABS(H548)&amp;" "&amp;E548&amp;" (QS giải trình &amp; duyệt sửa BOQ)")),"")</f>
        <v/>
      </c>
    </row>
    <row r="549" ht="15.6" customHeight="1" s="75">
      <c r="A549" s="58" t="inlineStr">
        <is>
          <t>DHKK-C-II.3.3.3</t>
        </is>
      </c>
      <c r="B549" s="24" t="n"/>
      <c r="C549" s="99" t="inlineStr">
        <is>
          <t>Ống 1100x750 L1110</t>
        </is>
      </c>
      <c r="D549" s="61" t="inlineStr">
        <is>
          <t>Ống</t>
        </is>
      </c>
      <c r="E549" s="61" t="inlineStr">
        <is>
          <t>Ống</t>
        </is>
      </c>
      <c r="F549" s="88" t="n">
        <v>52</v>
      </c>
      <c r="G549" s="88" t="n">
        <v>52</v>
      </c>
      <c r="H549" s="44">
        <f>IF(OR(ISNUMBER(F549),ISNUMBER(G549)),N(F549)-N(G549),"")</f>
        <v/>
      </c>
      <c r="I549" s="137" t="n"/>
      <c r="J549" s="117">
        <f>IF(OR(ISNUMBER(F549),ISNUMBER(G549)),IF(ISBLANK(G549),"⚠️ Chưa bóc tách định mức",IF(H549&gt;=0,"✅ OK - Cho phép đặt hàng","❌ CHẶN ĐẶT HÀNG - CẦN BẢO VỆ KL")),"")</f>
        <v/>
      </c>
      <c r="K549" s="138">
        <f>IF(OR(ISNUMBER(F549),ISNUMBER(G549)),IF(ISBLANK(G549),"Kỹ sư/Thầu phụ cần bóc tách KL bản vẽ",IF(H549&gt;=0,"Được đặt hàng tối đa "&amp;G549&amp;" "&amp;E549,"Vượt dự toán "&amp;ABS(H549)&amp;" "&amp;E549&amp;" (QS giải trình &amp; duyệt sửa BOQ)")),"")</f>
        <v/>
      </c>
    </row>
    <row r="550" ht="15.6" customHeight="1" s="75">
      <c r="A550" s="58" t="inlineStr">
        <is>
          <t>DHKK-C-II.3.3.4</t>
        </is>
      </c>
      <c r="B550" s="24" t="n"/>
      <c r="C550" s="99" t="inlineStr">
        <is>
          <t>Ống 1100x750 L940</t>
        </is>
      </c>
      <c r="D550" s="61" t="inlineStr">
        <is>
          <t>Ống</t>
        </is>
      </c>
      <c r="E550" s="61" t="inlineStr">
        <is>
          <t>Ống</t>
        </is>
      </c>
      <c r="F550" s="88" t="n">
        <v>26</v>
      </c>
      <c r="G550" s="88" t="n">
        <v>26</v>
      </c>
      <c r="H550" s="44">
        <f>IF(OR(ISNUMBER(F550),ISNUMBER(G550)),N(F550)-N(G550),"")</f>
        <v/>
      </c>
      <c r="I550" s="137" t="n"/>
      <c r="J550" s="117">
        <f>IF(OR(ISNUMBER(F550),ISNUMBER(G550)),IF(ISBLANK(G550),"⚠️ Chưa bóc tách định mức",IF(H550&gt;=0,"✅ OK - Cho phép đặt hàng","❌ CHẶN ĐẶT HÀNG - CẦN BẢO VỆ KL")),"")</f>
        <v/>
      </c>
      <c r="K550" s="138">
        <f>IF(OR(ISNUMBER(F550),ISNUMBER(G550)),IF(ISBLANK(G550),"Kỹ sư/Thầu phụ cần bóc tách KL bản vẽ",IF(H550&gt;=0,"Được đặt hàng tối đa "&amp;G550&amp;" "&amp;E550,"Vượt dự toán "&amp;ABS(H550)&amp;" "&amp;E550&amp;" (QS giải trình &amp; duyệt sửa BOQ)")),"")</f>
        <v/>
      </c>
    </row>
    <row r="551" ht="15.6" customHeight="1" s="75">
      <c r="A551" s="58" t="inlineStr">
        <is>
          <t>DHKK-C-II.3.3.5</t>
        </is>
      </c>
      <c r="B551" s="24" t="n"/>
      <c r="C551" s="99" t="inlineStr">
        <is>
          <t>Ống 950x700 L1110</t>
        </is>
      </c>
      <c r="D551" s="61" t="inlineStr">
        <is>
          <t>Ống</t>
        </is>
      </c>
      <c r="E551" s="61" t="inlineStr">
        <is>
          <t>Ống</t>
        </is>
      </c>
      <c r="F551" s="88" t="n">
        <v>52</v>
      </c>
      <c r="G551" s="88" t="n">
        <v>52</v>
      </c>
      <c r="H551" s="44">
        <f>IF(OR(ISNUMBER(F551),ISNUMBER(G551)),N(F551)-N(G551),"")</f>
        <v/>
      </c>
      <c r="I551" s="137" t="n"/>
      <c r="J551" s="117">
        <f>IF(OR(ISNUMBER(F551),ISNUMBER(G551)),IF(ISBLANK(G551),"⚠️ Chưa bóc tách định mức",IF(H551&gt;=0,"✅ OK - Cho phép đặt hàng","❌ CHẶN ĐẶT HÀNG - CẦN BẢO VỆ KL")),"")</f>
        <v/>
      </c>
      <c r="K551" s="138">
        <f>IF(OR(ISNUMBER(F551),ISNUMBER(G551)),IF(ISBLANK(G551),"Kỹ sư/Thầu phụ cần bóc tách KL bản vẽ",IF(H551&gt;=0,"Được đặt hàng tối đa "&amp;G551&amp;" "&amp;E551,"Vượt dự toán "&amp;ABS(H551)&amp;" "&amp;E551&amp;" (QS giải trình &amp; duyệt sửa BOQ)")),"")</f>
        <v/>
      </c>
    </row>
    <row r="552" ht="15.6" customHeight="1" s="75">
      <c r="A552" s="58" t="inlineStr">
        <is>
          <t>DHKK-C-II.3.3.6</t>
        </is>
      </c>
      <c r="B552" s="24" t="n"/>
      <c r="C552" s="99" t="inlineStr">
        <is>
          <t>Ống 950x700 L940</t>
        </is>
      </c>
      <c r="D552" s="61" t="inlineStr">
        <is>
          <t>Ống</t>
        </is>
      </c>
      <c r="E552" s="61" t="inlineStr">
        <is>
          <t>Ống</t>
        </is>
      </c>
      <c r="F552" s="88" t="n">
        <v>26</v>
      </c>
      <c r="G552" s="88" t="n">
        <v>26</v>
      </c>
      <c r="H552" s="44">
        <f>IF(OR(ISNUMBER(F552),ISNUMBER(G552)),N(F552)-N(G552),"")</f>
        <v/>
      </c>
      <c r="I552" s="137" t="n"/>
      <c r="J552" s="117">
        <f>IF(OR(ISNUMBER(F552),ISNUMBER(G552)),IF(ISBLANK(G552),"⚠️ Chưa bóc tách định mức",IF(H552&gt;=0,"✅ OK - Cho phép đặt hàng","❌ CHẶN ĐẶT HÀNG - CẦN BẢO VỆ KL")),"")</f>
        <v/>
      </c>
      <c r="K552" s="138">
        <f>IF(OR(ISNUMBER(F552),ISNUMBER(G552)),IF(ISBLANK(G552),"Kỹ sư/Thầu phụ cần bóc tách KL bản vẽ",IF(H552&gt;=0,"Được đặt hàng tối đa "&amp;G552&amp;" "&amp;E552,"Vượt dự toán "&amp;ABS(H552)&amp;" "&amp;E552&amp;" (QS giải trình &amp; duyệt sửa BOQ)")),"")</f>
        <v/>
      </c>
    </row>
    <row r="553" ht="15.6" customHeight="1" s="75">
      <c r="A553" s="58" t="inlineStr">
        <is>
          <t>DHKK-C-II.3.3.7</t>
        </is>
      </c>
      <c r="B553" s="24" t="n"/>
      <c r="C553" s="99" t="inlineStr">
        <is>
          <t>Bù 700x300 L240</t>
        </is>
      </c>
      <c r="D553" s="61" t="inlineStr">
        <is>
          <t>Ống</t>
        </is>
      </c>
      <c r="E553" s="61" t="inlineStr">
        <is>
          <t>Ống</t>
        </is>
      </c>
      <c r="F553" s="88" t="n">
        <v>26</v>
      </c>
      <c r="G553" s="88" t="n">
        <v>26</v>
      </c>
      <c r="H553" s="44">
        <f>IF(OR(ISNUMBER(F553),ISNUMBER(G553)),N(F553)-N(G553),"")</f>
        <v/>
      </c>
      <c r="I553" s="137" t="n"/>
      <c r="J553" s="117">
        <f>IF(OR(ISNUMBER(F553),ISNUMBER(G553)),IF(ISBLANK(G553),"⚠️ Chưa bóc tách định mức",IF(H553&gt;=0,"✅ OK - Cho phép đặt hàng","❌ CHẶN ĐẶT HÀNG - CẦN BẢO VỆ KL")),"")</f>
        <v/>
      </c>
      <c r="K553" s="138">
        <f>IF(OR(ISNUMBER(F553),ISNUMBER(G553)),IF(ISBLANK(G553),"Kỹ sư/Thầu phụ cần bóc tách KL bản vẽ",IF(H553&gt;=0,"Được đặt hàng tối đa "&amp;G553&amp;" "&amp;E553,"Vượt dự toán "&amp;ABS(H553)&amp;" "&amp;E553&amp;" (QS giải trình &amp; duyệt sửa BOQ)")),"")</f>
        <v/>
      </c>
    </row>
    <row r="554" ht="15.6" customHeight="1" s="75">
      <c r="A554" s="58" t="inlineStr">
        <is>
          <t>DHKK-C-II.3.3.8</t>
        </is>
      </c>
      <c r="B554" s="24" t="n"/>
      <c r="C554" s="99" t="inlineStr">
        <is>
          <t>Bù 550x300 L240</t>
        </is>
      </c>
      <c r="D554" s="61" t="inlineStr">
        <is>
          <t>Ống</t>
        </is>
      </c>
      <c r="E554" s="61" t="inlineStr">
        <is>
          <t>Ống</t>
        </is>
      </c>
      <c r="F554" s="88" t="n">
        <v>26</v>
      </c>
      <c r="G554" s="88" t="n">
        <v>26</v>
      </c>
      <c r="H554" s="44">
        <f>IF(OR(ISNUMBER(F554),ISNUMBER(G554)),N(F554)-N(G554),"")</f>
        <v/>
      </c>
      <c r="I554" s="137" t="n"/>
      <c r="J554" s="117">
        <f>IF(OR(ISNUMBER(F554),ISNUMBER(G554)),IF(ISBLANK(G554),"⚠️ Chưa bóc tách định mức",IF(H554&gt;=0,"✅ OK - Cho phép đặt hàng","❌ CHẶN ĐẶT HÀNG - CẦN BẢO VỆ KL")),"")</f>
        <v/>
      </c>
      <c r="K554" s="138">
        <f>IF(OR(ISNUMBER(F554),ISNUMBER(G554)),IF(ISBLANK(G554),"Kỹ sư/Thầu phụ cần bóc tách KL bản vẽ",IF(H554&gt;=0,"Được đặt hàng tối đa "&amp;G554&amp;" "&amp;E554,"Vượt dự toán "&amp;ABS(H554)&amp;" "&amp;E554&amp;" (QS giải trình &amp; duyệt sửa BOQ)")),"")</f>
        <v/>
      </c>
    </row>
    <row r="555" ht="15.6" customHeight="1" s="75">
      <c r="A555" s="58" t="inlineStr">
        <is>
          <t>DHKK-C-II.3.3.9</t>
        </is>
      </c>
      <c r="B555" s="24" t="n"/>
      <c r="C555" s="99" t="inlineStr">
        <is>
          <t>Bù 1000x300 L280</t>
        </is>
      </c>
      <c r="D555" s="61" t="inlineStr">
        <is>
          <t>Ống</t>
        </is>
      </c>
      <c r="E555" s="61" t="inlineStr">
        <is>
          <t>Ống</t>
        </is>
      </c>
      <c r="F555" s="88" t="n">
        <v>52</v>
      </c>
      <c r="G555" s="88" t="n">
        <v>52</v>
      </c>
      <c r="H555" s="44">
        <f>IF(OR(ISNUMBER(F555),ISNUMBER(G555)),N(F555)-N(G555),"")</f>
        <v/>
      </c>
      <c r="I555" s="137" t="n"/>
      <c r="J555" s="117">
        <f>IF(OR(ISNUMBER(F555),ISNUMBER(G555)),IF(ISBLANK(G555),"⚠️ Chưa bóc tách định mức",IF(H555&gt;=0,"✅ OK - Cho phép đặt hàng","❌ CHẶN ĐẶT HÀNG - CẦN BẢO VỆ KL")),"")</f>
        <v/>
      </c>
      <c r="K555" s="138">
        <f>IF(OR(ISNUMBER(F555),ISNUMBER(G555)),IF(ISBLANK(G555),"Kỹ sư/Thầu phụ cần bóc tách KL bản vẽ",IF(H555&gt;=0,"Được đặt hàng tối đa "&amp;G555&amp;" "&amp;E555,"Vượt dự toán "&amp;ABS(H555)&amp;" "&amp;E555&amp;" (QS giải trình &amp; duyệt sửa BOQ)")),"")</f>
        <v/>
      </c>
    </row>
    <row r="556" ht="15.6" customHeight="1" s="75">
      <c r="A556" s="58" t="n"/>
      <c r="B556" s="24" t="n"/>
      <c r="C556" s="98" t="n"/>
      <c r="D556" s="61" t="n"/>
      <c r="E556" s="61" t="n"/>
      <c r="F556" s="88" t="n"/>
      <c r="G556" s="88" t="n"/>
      <c r="H556" s="63" t="n"/>
      <c r="I556" s="137" t="n"/>
    </row>
    <row r="557" ht="15.6" customHeight="1" s="75">
      <c r="A557" s="58" t="inlineStr">
        <is>
          <t>DHKK-C-II-30F</t>
        </is>
      </c>
      <c r="B557" s="24" t="n"/>
      <c r="C557" s="98" t="inlineStr">
        <is>
          <t>Ống Trục Tầng 30F-RF</t>
        </is>
      </c>
      <c r="D557" s="61" t="n"/>
      <c r="E557" s="61" t="n"/>
      <c r="F557" s="88" t="n"/>
      <c r="G557" s="88" t="n"/>
      <c r="H557" s="63" t="n"/>
      <c r="I557" s="137" t="n"/>
    </row>
    <row r="558" ht="15.6" customHeight="1" s="75">
      <c r="A558" s="58" t="inlineStr">
        <is>
          <t>DHKK-C-II.3.3.10</t>
        </is>
      </c>
      <c r="B558" s="24" t="n"/>
      <c r="C558" s="98" t="inlineStr">
        <is>
          <t>Ống 1200x700x L1110</t>
        </is>
      </c>
      <c r="D558" s="61" t="n"/>
      <c r="E558" s="61" t="inlineStr">
        <is>
          <t>Ống</t>
        </is>
      </c>
      <c r="F558" s="88" t="n">
        <v>7</v>
      </c>
      <c r="G558" s="88" t="n">
        <v>7</v>
      </c>
      <c r="H558" s="63">
        <f>IF(OR(ISNUMBER(F558),ISNUMBER(G558)),N(F558)-N(G558),"")</f>
        <v/>
      </c>
      <c r="I558" s="137" t="n"/>
      <c r="J558" s="117">
        <f>IF(OR(ISNUMBER(F558),ISNUMBER(G558)),IF(ISBLANK(G558),"⚠️ Chưa bóc tách định mức",IF(H558&gt;=0,"✅ OK - Cho phép đặt hàng","❌ CHẶN ĐẶT HÀNG - CẦN BẢO VỆ KL")),"")</f>
        <v/>
      </c>
      <c r="K558" s="138">
        <f>IF(OR(ISNUMBER(F558),ISNUMBER(G558)),IF(ISBLANK(G558),"Kỹ sư/Thầu phụ cần bóc tách KL bản vẽ",IF(H558&gt;=0,"Được đặt hàng tối đa "&amp;G558&amp;" "&amp;E558,"Vượt dự toán "&amp;ABS(H558)&amp;" "&amp;E558&amp;" (QS giải trình &amp; duyệt sửa BOQ)")),"")</f>
        <v/>
      </c>
    </row>
    <row r="559" ht="15.6" customHeight="1" s="75">
      <c r="A559" s="58" t="inlineStr">
        <is>
          <t>DHKK-C-II.3.3.11</t>
        </is>
      </c>
      <c r="B559" s="24" t="n"/>
      <c r="C559" s="98" t="inlineStr">
        <is>
          <t>Ống 1200x700x L900</t>
        </is>
      </c>
      <c r="D559" s="61" t="n"/>
      <c r="E559" s="61" t="inlineStr">
        <is>
          <t>Ống</t>
        </is>
      </c>
      <c r="F559" s="88" t="n">
        <v>1</v>
      </c>
      <c r="G559" s="88" t="n">
        <v>1</v>
      </c>
      <c r="H559" s="63">
        <f>IF(OR(ISNUMBER(F559),ISNUMBER(G559)),N(F559)-N(G559),"")</f>
        <v/>
      </c>
      <c r="I559" s="137" t="n"/>
      <c r="J559" s="117">
        <f>IF(OR(ISNUMBER(F559),ISNUMBER(G559)),IF(ISBLANK(G559),"⚠️ Chưa bóc tách định mức",IF(H559&gt;=0,"✅ OK - Cho phép đặt hàng","❌ CHẶN ĐẶT HÀNG - CẦN BẢO VỆ KL")),"")</f>
        <v/>
      </c>
      <c r="K559" s="138">
        <f>IF(OR(ISNUMBER(F559),ISNUMBER(G559)),IF(ISBLANK(G559),"Kỹ sư/Thầu phụ cần bóc tách KL bản vẽ",IF(H559&gt;=0,"Được đặt hàng tối đa "&amp;G559&amp;" "&amp;E559,"Vượt dự toán "&amp;ABS(H559)&amp;" "&amp;E559&amp;" (QS giải trình &amp; duyệt sửa BOQ)")),"")</f>
        <v/>
      </c>
    </row>
    <row r="560" ht="15.6" customHeight="1" s="75">
      <c r="A560" s="58" t="inlineStr">
        <is>
          <t>DHKK-C-II.3.3.12</t>
        </is>
      </c>
      <c r="B560" s="24" t="n"/>
      <c r="C560" s="98" t="inlineStr">
        <is>
          <t>Ống 1200x700x L710</t>
        </is>
      </c>
      <c r="D560" s="61" t="n"/>
      <c r="E560" s="61" t="inlineStr">
        <is>
          <t>Ống</t>
        </is>
      </c>
      <c r="F560" s="88" t="n">
        <v>2</v>
      </c>
      <c r="G560" s="88" t="n">
        <v>2</v>
      </c>
      <c r="H560" s="63">
        <f>IF(OR(ISNUMBER(F560),ISNUMBER(G560)),N(F560)-N(G560),"")</f>
        <v/>
      </c>
      <c r="I560" s="137" t="n"/>
      <c r="J560" s="117">
        <f>IF(OR(ISNUMBER(F560),ISNUMBER(G560)),IF(ISBLANK(G560),"⚠️ Chưa bóc tách định mức",IF(H560&gt;=0,"✅ OK - Cho phép đặt hàng","❌ CHẶN ĐẶT HÀNG - CẦN BẢO VỆ KL")),"")</f>
        <v/>
      </c>
      <c r="K560" s="138">
        <f>IF(OR(ISNUMBER(F560),ISNUMBER(G560)),IF(ISBLANK(G560),"Kỹ sư/Thầu phụ cần bóc tách KL bản vẽ",IF(H560&gt;=0,"Được đặt hàng tối đa "&amp;G560&amp;" "&amp;E560,"Vượt dự toán "&amp;ABS(H560)&amp;" "&amp;E560&amp;" (QS giải trình &amp; duyệt sửa BOQ)")),"")</f>
        <v/>
      </c>
    </row>
    <row r="561" ht="15.6" customHeight="1" s="75">
      <c r="A561" s="58" t="inlineStr">
        <is>
          <t>DHKK-C-II.3.3.13</t>
        </is>
      </c>
      <c r="B561" s="24" t="n"/>
      <c r="C561" s="98" t="inlineStr">
        <is>
          <t>Ống 1200x700x L</t>
        </is>
      </c>
      <c r="D561" s="61" t="n"/>
      <c r="E561" s="61" t="inlineStr">
        <is>
          <t>Ống</t>
        </is>
      </c>
      <c r="F561" s="88" t="n">
        <v>2</v>
      </c>
      <c r="G561" s="88" t="n">
        <v>2</v>
      </c>
      <c r="H561" s="63">
        <f>IF(OR(ISNUMBER(F561),ISNUMBER(G561)),N(F561)-N(G561),"")</f>
        <v/>
      </c>
      <c r="I561" s="137" t="n"/>
      <c r="J561" s="117">
        <f>IF(OR(ISNUMBER(F561),ISNUMBER(G561)),IF(ISBLANK(G561),"⚠️ Chưa bóc tách định mức",IF(H561&gt;=0,"✅ OK - Cho phép đặt hàng","❌ CHẶN ĐẶT HÀNG - CẦN BẢO VỆ KL")),"")</f>
        <v/>
      </c>
      <c r="K561" s="138">
        <f>IF(OR(ISNUMBER(F561),ISNUMBER(G561)),IF(ISBLANK(G561),"Kỹ sư/Thầu phụ cần bóc tách KL bản vẽ",IF(H561&gt;=0,"Được đặt hàng tối đa "&amp;G561&amp;" "&amp;E561,"Vượt dự toán "&amp;ABS(H561)&amp;" "&amp;E561&amp;" (QS giải trình &amp; duyệt sửa BOQ)")),"")</f>
        <v/>
      </c>
    </row>
    <row r="562" ht="15.6" customHeight="1" s="75">
      <c r="A562" s="58" t="inlineStr">
        <is>
          <t>DHKK-C-II.3.3.14</t>
        </is>
      </c>
      <c r="B562" s="24" t="n"/>
      <c r="C562" s="98" t="inlineStr">
        <is>
          <t>Co 90 độ 700x1200 R150</t>
        </is>
      </c>
      <c r="D562" s="61" t="n"/>
      <c r="E562" s="61" t="inlineStr">
        <is>
          <t>Cái</t>
        </is>
      </c>
      <c r="F562" s="88" t="n">
        <v>1</v>
      </c>
      <c r="G562" s="88" t="n">
        <v>1</v>
      </c>
      <c r="H562" s="63">
        <f>IF(OR(ISNUMBER(F562),ISNUMBER(G562)),N(F562)-N(G562),"")</f>
        <v/>
      </c>
      <c r="I562" s="137" t="n"/>
      <c r="J562" s="117">
        <f>IF(OR(ISNUMBER(F562),ISNUMBER(G562)),IF(ISBLANK(G562),"⚠️ Chưa bóc tách định mức",IF(H562&gt;=0,"✅ OK - Cho phép đặt hàng","❌ CHẶN ĐẶT HÀNG - CẦN BẢO VỆ KL")),"")</f>
        <v/>
      </c>
      <c r="K562" s="138">
        <f>IF(OR(ISNUMBER(F562),ISNUMBER(G562)),IF(ISBLANK(G562),"Kỹ sư/Thầu phụ cần bóc tách KL bản vẽ",IF(H562&gt;=0,"Được đặt hàng tối đa "&amp;G562&amp;" "&amp;E562,"Vượt dự toán "&amp;ABS(H562)&amp;" "&amp;E562&amp;" (QS giải trình &amp; duyệt sửa BOQ)")),"")</f>
        <v/>
      </c>
    </row>
    <row r="563" ht="15.6" customHeight="1" s="75">
      <c r="A563" s="58" t="inlineStr">
        <is>
          <t>DHKK-C-II.3.3.15</t>
        </is>
      </c>
      <c r="B563" s="24" t="n"/>
      <c r="C563" s="98" t="inlineStr">
        <is>
          <t>Lượn 700x1200 L310 E50</t>
        </is>
      </c>
      <c r="D563" s="61" t="n"/>
      <c r="E563" s="61" t="inlineStr">
        <is>
          <t>Cái</t>
        </is>
      </c>
      <c r="F563" s="88" t="n">
        <v>1</v>
      </c>
      <c r="G563" s="88" t="n">
        <v>1</v>
      </c>
      <c r="H563" s="63">
        <f>IF(OR(ISNUMBER(F563),ISNUMBER(G563)),N(F563)-N(G563),"")</f>
        <v/>
      </c>
      <c r="I563" s="137" t="n"/>
      <c r="J563" s="117">
        <f>IF(OR(ISNUMBER(F563),ISNUMBER(G563)),IF(ISBLANK(G563),"⚠️ Chưa bóc tách định mức",IF(H563&gt;=0,"✅ OK - Cho phép đặt hàng","❌ CHẶN ĐẶT HÀNG - CẦN BẢO VỆ KL")),"")</f>
        <v/>
      </c>
      <c r="K563" s="138">
        <f>IF(OR(ISNUMBER(F563),ISNUMBER(G563)),IF(ISBLANK(G563),"Kỹ sư/Thầu phụ cần bóc tách KL bản vẽ",IF(H563&gt;=0,"Được đặt hàng tối đa "&amp;G563&amp;" "&amp;E563,"Vượt dự toán "&amp;ABS(H563)&amp;" "&amp;E563&amp;" (QS giải trình &amp; duyệt sửa BOQ)")),"")</f>
        <v/>
      </c>
    </row>
    <row r="564" ht="15.6" customHeight="1" s="75">
      <c r="A564" s="58" t="inlineStr">
        <is>
          <t>DHKK-C-II.3.3.16</t>
        </is>
      </c>
      <c r="B564" s="24" t="n"/>
      <c r="C564" s="98" t="inlineStr">
        <is>
          <t>Ống 1100x750x L1110</t>
        </is>
      </c>
      <c r="D564" s="61" t="n"/>
      <c r="E564" s="61" t="n"/>
      <c r="F564" s="88" t="n">
        <v>7</v>
      </c>
      <c r="G564" s="88" t="n">
        <v>7</v>
      </c>
      <c r="H564" s="63">
        <f>IF(OR(ISNUMBER(F564),ISNUMBER(G564)),N(F564)-N(G564),"")</f>
        <v/>
      </c>
      <c r="I564" s="137" t="n"/>
      <c r="J564" s="117">
        <f>IF(OR(ISNUMBER(F564),ISNUMBER(G564)),IF(ISBLANK(G564),"⚠️ Chưa bóc tách định mức",IF(H564&gt;=0,"✅ OK - Cho phép đặt hàng","❌ CHẶN ĐẶT HÀNG - CẦN BẢO VỆ KL")),"")</f>
        <v/>
      </c>
      <c r="K564" s="138">
        <f>IF(OR(ISNUMBER(F564),ISNUMBER(G564)),IF(ISBLANK(G564),"Kỹ sư/Thầu phụ cần bóc tách KL bản vẽ",IF(H564&gt;=0,"Được đặt hàng tối đa "&amp;G564&amp;" "&amp;E564,"Vượt dự toán "&amp;ABS(H564)&amp;" "&amp;E564&amp;" (QS giải trình &amp; duyệt sửa BOQ)")),"")</f>
        <v/>
      </c>
    </row>
    <row r="565" ht="15.6" customHeight="1" s="75">
      <c r="A565" s="58" t="inlineStr">
        <is>
          <t>DHKK-C-II.3.3.17</t>
        </is>
      </c>
      <c r="B565" s="24" t="n"/>
      <c r="C565" s="98" t="inlineStr">
        <is>
          <t>Ống 1100x750x L450</t>
        </is>
      </c>
      <c r="D565" s="61" t="n"/>
      <c r="E565" s="61" t="n"/>
      <c r="F565" s="88" t="n">
        <v>1</v>
      </c>
      <c r="G565" s="88" t="n">
        <v>1</v>
      </c>
      <c r="H565" s="63">
        <f>IF(OR(ISNUMBER(F565),ISNUMBER(G565)),N(F565)-N(G565),"")</f>
        <v/>
      </c>
      <c r="I565" s="137" t="n"/>
      <c r="J565" s="117">
        <f>IF(OR(ISNUMBER(F565),ISNUMBER(G565)),IF(ISBLANK(G565),"⚠️ Chưa bóc tách định mức",IF(H565&gt;=0,"✅ OK - Cho phép đặt hàng","❌ CHẶN ĐẶT HÀNG - CẦN BẢO VỆ KL")),"")</f>
        <v/>
      </c>
      <c r="K565" s="138">
        <f>IF(OR(ISNUMBER(F565),ISNUMBER(G565)),IF(ISBLANK(G565),"Kỹ sư/Thầu phụ cần bóc tách KL bản vẽ",IF(H565&gt;=0,"Được đặt hàng tối đa "&amp;G565&amp;" "&amp;E565,"Vượt dự toán "&amp;ABS(H565)&amp;" "&amp;E565&amp;" (QS giải trình &amp; duyệt sửa BOQ)")),"")</f>
        <v/>
      </c>
    </row>
    <row r="566" ht="15.6" customHeight="1" s="75">
      <c r="A566" s="58" t="inlineStr">
        <is>
          <t>DHKK-C-II.3.3.18</t>
        </is>
      </c>
      <c r="B566" s="24" t="n"/>
      <c r="C566" s="98" t="inlineStr">
        <is>
          <t>Ống 1100x750x L</t>
        </is>
      </c>
      <c r="D566" s="61" t="n"/>
      <c r="E566" s="61" t="n"/>
      <c r="F566" s="88" t="n">
        <v>2</v>
      </c>
      <c r="G566" s="88" t="n">
        <v>2</v>
      </c>
      <c r="H566" s="63">
        <f>IF(OR(ISNUMBER(F566),ISNUMBER(G566)),N(F566)-N(G566),"")</f>
        <v/>
      </c>
      <c r="I566" s="137" t="n"/>
      <c r="J566" s="117">
        <f>IF(OR(ISNUMBER(F566),ISNUMBER(G566)),IF(ISBLANK(G566),"⚠️ Chưa bóc tách định mức",IF(H566&gt;=0,"✅ OK - Cho phép đặt hàng","❌ CHẶN ĐẶT HÀNG - CẦN BẢO VỆ KL")),"")</f>
        <v/>
      </c>
      <c r="K566" s="138">
        <f>IF(OR(ISNUMBER(F566),ISNUMBER(G566)),IF(ISBLANK(G566),"Kỹ sư/Thầu phụ cần bóc tách KL bản vẽ",IF(H566&gt;=0,"Được đặt hàng tối đa "&amp;G566&amp;" "&amp;E566,"Vượt dự toán "&amp;ABS(H566)&amp;" "&amp;E566&amp;" (QS giải trình &amp; duyệt sửa BOQ)")),"")</f>
        <v/>
      </c>
    </row>
    <row r="567" ht="15.6" customHeight="1" s="75">
      <c r="A567" s="58" t="inlineStr">
        <is>
          <t>DHKK-C-II.3.3.19</t>
        </is>
      </c>
      <c r="B567" s="24" t="n"/>
      <c r="C567" s="98" t="inlineStr">
        <is>
          <t>Co  độ 750x1100x R200</t>
        </is>
      </c>
      <c r="D567" s="61" t="n"/>
      <c r="E567" s="61" t="n"/>
      <c r="F567" s="88" t="n">
        <v>1</v>
      </c>
      <c r="G567" s="88" t="n">
        <v>1</v>
      </c>
      <c r="H567" s="63">
        <f>IF(OR(ISNUMBER(F567),ISNUMBER(G567)),N(F567)-N(G567),"")</f>
        <v/>
      </c>
      <c r="I567" s="137" t="n"/>
      <c r="J567" s="117">
        <f>IF(OR(ISNUMBER(F567),ISNUMBER(G567)),IF(ISBLANK(G567),"⚠️ Chưa bóc tách định mức",IF(H567&gt;=0,"✅ OK - Cho phép đặt hàng","❌ CHẶN ĐẶT HÀNG - CẦN BẢO VỆ KL")),"")</f>
        <v/>
      </c>
      <c r="K567" s="138">
        <f>IF(OR(ISNUMBER(F567),ISNUMBER(G567)),IF(ISBLANK(G567),"Kỹ sư/Thầu phụ cần bóc tách KL bản vẽ",IF(H567&gt;=0,"Được đặt hàng tối đa "&amp;G567&amp;" "&amp;E567,"Vượt dự toán "&amp;ABS(H567)&amp;" "&amp;E567&amp;" (QS giải trình &amp; duyệt sửa BOQ)")),"")</f>
        <v/>
      </c>
    </row>
    <row r="568" ht="15.6" customHeight="1" s="75">
      <c r="A568" s="58" t="inlineStr">
        <is>
          <t>DHKK-C-II.3.3.20</t>
        </is>
      </c>
      <c r="B568" s="24" t="n"/>
      <c r="C568" s="98" t="inlineStr">
        <is>
          <t>Lượn 750x1100 L200 E100</t>
        </is>
      </c>
      <c r="D568" s="61" t="n"/>
      <c r="E568" s="61" t="n"/>
      <c r="F568" s="88" t="n">
        <v>1</v>
      </c>
      <c r="G568" s="88" t="n">
        <v>1</v>
      </c>
      <c r="H568" s="63">
        <f>IF(OR(ISNUMBER(F568),ISNUMBER(G568)),N(F568)-N(G568),"")</f>
        <v/>
      </c>
      <c r="I568" s="137" t="n"/>
      <c r="J568" s="117">
        <f>IF(OR(ISNUMBER(F568),ISNUMBER(G568)),IF(ISBLANK(G568),"⚠️ Chưa bóc tách định mức",IF(H568&gt;=0,"✅ OK - Cho phép đặt hàng","❌ CHẶN ĐẶT HÀNG - CẦN BẢO VỆ KL")),"")</f>
        <v/>
      </c>
      <c r="K568" s="138">
        <f>IF(OR(ISNUMBER(F568),ISNUMBER(G568)),IF(ISBLANK(G568),"Kỹ sư/Thầu phụ cần bóc tách KL bản vẽ",IF(H568&gt;=0,"Được đặt hàng tối đa "&amp;G568&amp;" "&amp;E568,"Vượt dự toán "&amp;ABS(H568)&amp;" "&amp;E568&amp;" (QS giải trình &amp; duyệt sửa BOQ)")),"")</f>
        <v/>
      </c>
    </row>
    <row r="569" ht="28.8" customHeight="1" s="75">
      <c r="A569" s="58" t="inlineStr">
        <is>
          <t>DHKK-C-II.3.4.0</t>
        </is>
      </c>
      <c r="B569" s="24" t="n"/>
      <c r="C569" s="98" t="inlineStr">
        <is>
          <t>Ống gió tole mạ kẽm dày 0.75mm, chống cháy EI30</t>
        </is>
      </c>
      <c r="D569" s="61" t="inlineStr">
        <is>
          <t>m2</t>
        </is>
      </c>
      <c r="E569" s="61" t="inlineStr">
        <is>
          <t>m2</t>
        </is>
      </c>
      <c r="F569" s="88" t="n">
        <v>3833</v>
      </c>
      <c r="G569" s="88" t="n">
        <v>3379</v>
      </c>
      <c r="H569" s="42">
        <f>IF(OR(ISNUMBER(F569),ISNUMBER(G569)),N(F569)-N(G569),"")</f>
        <v/>
      </c>
      <c r="I569" s="137" t="n"/>
      <c r="J569" s="117">
        <f>IF(OR(ISNUMBER(F569),ISNUMBER(G569)),IF(ISBLANK(G569),"⚠️ Chưa bóc tách định mức",IF(H569&gt;=0,"✅ OK - Cho phép đặt hàng","❌ CHẶN ĐẶT HÀNG - CẦN BẢO VỆ KL")),"")</f>
        <v/>
      </c>
      <c r="K569" s="138">
        <f>IF(OR(ISNUMBER(F569),ISNUMBER(G569)),IF(ISBLANK(G569),"Kỹ sư/Thầu phụ cần bóc tách KL bản vẽ",IF(H569&gt;=0,"Được đặt hàng tối đa "&amp;G569&amp;" "&amp;E569,"Vượt dự toán "&amp;ABS(H569)&amp;" "&amp;E569&amp;" (QS giải trình &amp; duyệt sửa BOQ)")),"")</f>
        <v/>
      </c>
    </row>
    <row r="570" ht="28.5" customHeight="1" s="75">
      <c r="A570" s="58" t="inlineStr">
        <is>
          <t>DHKK-C-II.3.4.1</t>
        </is>
      </c>
      <c r="B570" s="61" t="n">
        <v>1</v>
      </c>
      <c r="C570" s="99" t="inlineStr">
        <is>
          <t>Ống bít đầu SEAD 700x300 L1400
 mổ đáy gót MG 1210x410 L130 đồng tâm</t>
        </is>
      </c>
      <c r="D570" s="61" t="inlineStr">
        <is>
          <t>cái</t>
        </is>
      </c>
      <c r="E570" s="61" t="inlineStr">
        <is>
          <t>cái</t>
        </is>
      </c>
      <c r="F570" s="88" t="n">
        <v>52</v>
      </c>
      <c r="G570" s="88" t="n">
        <v>52</v>
      </c>
      <c r="H570" s="44">
        <f>IF(OR(ISNUMBER(F570),ISNUMBER(G570)),N(F570)-N(G570),"")</f>
        <v/>
      </c>
      <c r="I570" s="137" t="n"/>
      <c r="J570" s="117">
        <f>IF(OR(ISNUMBER(F570),ISNUMBER(G570)),IF(ISBLANK(G570),"⚠️ Chưa bóc tách định mức",IF(H570&gt;=0,"✅ OK - Cho phép đặt hàng","❌ CHẶN ĐẶT HÀNG - CẦN BẢO VỆ KL")),"")</f>
        <v/>
      </c>
      <c r="K570" s="138">
        <f>IF(OR(ISNUMBER(F570),ISNUMBER(G570)),IF(ISBLANK(G570),"Kỹ sư/Thầu phụ cần bóc tách KL bản vẽ",IF(H570&gt;=0,"Được đặt hàng tối đa "&amp;G570&amp;" "&amp;E570,"Vượt dự toán "&amp;ABS(H570)&amp;" "&amp;E570&amp;" (QS giải trình &amp; duyệt sửa BOQ)")),"")</f>
        <v/>
      </c>
    </row>
    <row r="571" ht="15.6" customHeight="1" s="75">
      <c r="A571" s="58" t="inlineStr">
        <is>
          <t>DHKK-C-II.3.4.2</t>
        </is>
      </c>
      <c r="B571" s="61" t="n">
        <v>2</v>
      </c>
      <c r="C571" s="99" t="inlineStr">
        <is>
          <t>Ống SEAD 700x300 L300</t>
        </is>
      </c>
      <c r="D571" s="61" t="inlineStr">
        <is>
          <t>cái</t>
        </is>
      </c>
      <c r="E571" s="61" t="inlineStr">
        <is>
          <t>cái</t>
        </is>
      </c>
      <c r="F571" s="88" t="n">
        <v>26</v>
      </c>
      <c r="G571" s="88" t="n">
        <v>26</v>
      </c>
      <c r="H571" s="44">
        <f>IF(OR(ISNUMBER(F571),ISNUMBER(G571)),N(F571)-N(G571),"")</f>
        <v/>
      </c>
      <c r="I571" s="137" t="n"/>
      <c r="J571" s="117">
        <f>IF(OR(ISNUMBER(F571),ISNUMBER(G571)),IF(ISBLANK(G571),"⚠️ Chưa bóc tách định mức",IF(H571&gt;=0,"✅ OK - Cho phép đặt hàng","❌ CHẶN ĐẶT HÀNG - CẦN BẢO VỆ KL")),"")</f>
        <v/>
      </c>
      <c r="K571" s="138">
        <f>IF(OR(ISNUMBER(F571),ISNUMBER(G571)),IF(ISBLANK(G571),"Kỹ sư/Thầu phụ cần bóc tách KL bản vẽ",IF(H571&gt;=0,"Được đặt hàng tối đa "&amp;G571&amp;" "&amp;E571,"Vượt dự toán "&amp;ABS(H571)&amp;" "&amp;E571&amp;" (QS giải trình &amp; duyệt sửa BOQ)")),"")</f>
        <v/>
      </c>
    </row>
    <row r="572" ht="28.5" customHeight="1" s="75">
      <c r="A572" s="58" t="inlineStr">
        <is>
          <t>DHKK-C-II.3.4.3</t>
        </is>
      </c>
      <c r="B572" s="61" t="n">
        <v>3</v>
      </c>
      <c r="C572" s="99" t="inlineStr">
        <is>
          <t>Ống bít đầu SEAD 700x300 L820
 mổ 2 gót ống gió 700x300 L200</t>
        </is>
      </c>
      <c r="D572" s="61" t="inlineStr">
        <is>
          <t>cái</t>
        </is>
      </c>
      <c r="E572" s="61" t="inlineStr">
        <is>
          <t>cái</t>
        </is>
      </c>
      <c r="F572" s="88" t="n">
        <v>6</v>
      </c>
      <c r="G572" s="88" t="n">
        <v>6</v>
      </c>
      <c r="H572" s="44">
        <f>IF(OR(ISNUMBER(F572),ISNUMBER(G572)),N(F572)-N(G572),"")</f>
        <v/>
      </c>
      <c r="I572" s="137" t="n"/>
      <c r="J572" s="117">
        <f>IF(OR(ISNUMBER(F572),ISNUMBER(G572)),IF(ISBLANK(G572),"⚠️ Chưa bóc tách định mức",IF(H572&gt;=0,"✅ OK - Cho phép đặt hàng","❌ CHẶN ĐẶT HÀNG - CẦN BẢO VỆ KL")),"")</f>
        <v/>
      </c>
      <c r="K572" s="138">
        <f>IF(OR(ISNUMBER(F572),ISNUMBER(G572)),IF(ISBLANK(G572),"Kỹ sư/Thầu phụ cần bóc tách KL bản vẽ",IF(H572&gt;=0,"Được đặt hàng tối đa "&amp;G572&amp;" "&amp;E572,"Vượt dự toán "&amp;ABS(H572)&amp;" "&amp;E572&amp;" (QS giải trình &amp; duyệt sửa BOQ)")),"")</f>
        <v/>
      </c>
    </row>
    <row r="573" ht="28.5" customHeight="1" s="75">
      <c r="A573" s="58" t="inlineStr">
        <is>
          <t>DHKK-C-II.3.4.4</t>
        </is>
      </c>
      <c r="B573" s="61" t="n">
        <v>4</v>
      </c>
      <c r="C573" s="99" t="inlineStr">
        <is>
          <t>Ống bít đầu SEAD 700x300 L880
 mổ 2 gót ống gió 700x300 L200</t>
        </is>
      </c>
      <c r="D573" s="61" t="inlineStr">
        <is>
          <t>cái</t>
        </is>
      </c>
      <c r="E573" s="61" t="inlineStr">
        <is>
          <t>cái</t>
        </is>
      </c>
      <c r="F573" s="88" t="n">
        <v>20</v>
      </c>
      <c r="G573" s="88" t="n">
        <v>20</v>
      </c>
      <c r="H573" s="44">
        <f>IF(OR(ISNUMBER(F573),ISNUMBER(G573)),N(F573)-N(G573),"")</f>
        <v/>
      </c>
      <c r="I573" s="137" t="n"/>
      <c r="J573" s="117">
        <f>IF(OR(ISNUMBER(F573),ISNUMBER(G573)),IF(ISBLANK(G573),"⚠️ Chưa bóc tách định mức",IF(H573&gt;=0,"✅ OK - Cho phép đặt hàng","❌ CHẶN ĐẶT HÀNG - CẦN BẢO VỆ KL")),"")</f>
        <v/>
      </c>
      <c r="K573" s="138">
        <f>IF(OR(ISNUMBER(F573),ISNUMBER(G573)),IF(ISBLANK(G573),"Kỹ sư/Thầu phụ cần bóc tách KL bản vẽ",IF(H573&gt;=0,"Được đặt hàng tối đa "&amp;G573&amp;" "&amp;E573,"Vượt dự toán "&amp;ABS(H573)&amp;" "&amp;E573&amp;" (QS giải trình &amp; duyệt sửa BOQ)")),"")</f>
        <v/>
      </c>
    </row>
    <row r="574" ht="15.6" customHeight="1" s="75">
      <c r="A574" s="58" t="inlineStr">
        <is>
          <t>DHKK-C-II.3.4.5</t>
        </is>
      </c>
      <c r="B574" s="61" t="n">
        <v>5</v>
      </c>
      <c r="C574" s="99" t="inlineStr">
        <is>
          <t>Ống SEAD 700x300 L1110</t>
        </is>
      </c>
      <c r="D574" s="61" t="inlineStr">
        <is>
          <t>cái</t>
        </is>
      </c>
      <c r="E574" s="61" t="inlineStr">
        <is>
          <t>cái</t>
        </is>
      </c>
      <c r="F574" s="88" t="n">
        <v>182</v>
      </c>
      <c r="G574" s="88" t="n">
        <v>182</v>
      </c>
      <c r="H574" s="44">
        <f>IF(OR(ISNUMBER(F574),ISNUMBER(G574)),N(F574)-N(G574),"")</f>
        <v/>
      </c>
      <c r="I574" s="137" t="n"/>
      <c r="J574" s="117">
        <f>IF(OR(ISNUMBER(F574),ISNUMBER(G574)),IF(ISBLANK(G574),"⚠️ Chưa bóc tách định mức",IF(H574&gt;=0,"✅ OK - Cho phép đặt hàng","❌ CHẶN ĐẶT HÀNG - CẦN BẢO VỆ KL")),"")</f>
        <v/>
      </c>
      <c r="K574" s="138">
        <f>IF(OR(ISNUMBER(F574),ISNUMBER(G574)),IF(ISBLANK(G574),"Kỹ sư/Thầu phụ cần bóc tách KL bản vẽ",IF(H574&gt;=0,"Được đặt hàng tối đa "&amp;G574&amp;" "&amp;E574,"Vượt dự toán "&amp;ABS(H574)&amp;" "&amp;E574&amp;" (QS giải trình &amp; duyệt sửa BOQ)")),"")</f>
        <v/>
      </c>
    </row>
    <row r="575" ht="15.6" customHeight="1" s="75">
      <c r="A575" s="58" t="inlineStr">
        <is>
          <t>DHKK-C-II.3.4.6</t>
        </is>
      </c>
      <c r="B575" s="61" t="n">
        <v>6</v>
      </c>
      <c r="C575" s="99" t="inlineStr">
        <is>
          <t>Co 90 SEAD 700x300 R300</t>
        </is>
      </c>
      <c r="D575" s="61" t="inlineStr">
        <is>
          <t>cái</t>
        </is>
      </c>
      <c r="E575" s="61" t="inlineStr">
        <is>
          <t>cái</t>
        </is>
      </c>
      <c r="F575" s="88" t="n">
        <v>26</v>
      </c>
      <c r="G575" s="88" t="n">
        <v>26</v>
      </c>
      <c r="H575" s="44">
        <f>IF(OR(ISNUMBER(F575),ISNUMBER(G575)),N(F575)-N(G575),"")</f>
        <v/>
      </c>
      <c r="I575" s="137" t="n"/>
      <c r="J575" s="117">
        <f>IF(OR(ISNUMBER(F575),ISNUMBER(G575)),IF(ISBLANK(G575),"⚠️ Chưa bóc tách định mức",IF(H575&gt;=0,"✅ OK - Cho phép đặt hàng","❌ CHẶN ĐẶT HÀNG - CẦN BẢO VỆ KL")),"")</f>
        <v/>
      </c>
      <c r="K575" s="138">
        <f>IF(OR(ISNUMBER(F575),ISNUMBER(G575)),IF(ISBLANK(G575),"Kỹ sư/Thầu phụ cần bóc tách KL bản vẽ",IF(H575&gt;=0,"Được đặt hàng tối đa "&amp;G575&amp;" "&amp;E575,"Vượt dự toán "&amp;ABS(H575)&amp;" "&amp;E575&amp;" (QS giải trình &amp; duyệt sửa BOQ)")),"")</f>
        <v/>
      </c>
    </row>
    <row r="576" ht="15.6" customHeight="1" s="75">
      <c r="A576" s="58" t="inlineStr">
        <is>
          <t>DHKK-C-II.3.4.7</t>
        </is>
      </c>
      <c r="B576" s="61" t="n">
        <v>7</v>
      </c>
      <c r="C576" s="99" t="inlineStr">
        <is>
          <t>Ống SEAD 700x300 L530</t>
        </is>
      </c>
      <c r="D576" s="61" t="inlineStr">
        <is>
          <t>cái</t>
        </is>
      </c>
      <c r="E576" s="61" t="inlineStr">
        <is>
          <t>cái</t>
        </is>
      </c>
      <c r="F576" s="88" t="n">
        <v>26</v>
      </c>
      <c r="G576" s="88" t="n">
        <v>26</v>
      </c>
      <c r="H576" s="44">
        <f>IF(OR(ISNUMBER(F576),ISNUMBER(G576)),N(F576)-N(G576),"")</f>
        <v/>
      </c>
      <c r="I576" s="137" t="n"/>
      <c r="J576" s="117">
        <f>IF(OR(ISNUMBER(F576),ISNUMBER(G576)),IF(ISBLANK(G576),"⚠️ Chưa bóc tách định mức",IF(H576&gt;=0,"✅ OK - Cho phép đặt hàng","❌ CHẶN ĐẶT HÀNG - CẦN BẢO VỆ KL")),"")</f>
        <v/>
      </c>
      <c r="K576" s="138">
        <f>IF(OR(ISNUMBER(F576),ISNUMBER(G576)),IF(ISBLANK(G576),"Kỹ sư/Thầu phụ cần bóc tách KL bản vẽ",IF(H576&gt;=0,"Được đặt hàng tối đa "&amp;G576&amp;" "&amp;E576,"Vượt dự toán "&amp;ABS(H576)&amp;" "&amp;E576&amp;" (QS giải trình &amp; duyệt sửa BOQ)")),"")</f>
        <v/>
      </c>
    </row>
    <row r="577" ht="56.1" customHeight="1" s="75">
      <c r="A577" s="58" t="inlineStr">
        <is>
          <t>DHKK-C-II.3.4.8</t>
        </is>
      </c>
      <c r="B577" s="61" t="n">
        <v>8</v>
      </c>
      <c r="C577" s="99" t="inlineStr">
        <is>
          <t>Giảm Lượn SEAD 300x800/300x550 E100 L350 bằng trái
 2 cạnh 300 bẻ lam 30mm vuông góc
 2 cạnh 800 để suôn lam 30mm</t>
        </is>
      </c>
      <c r="D577" s="61" t="inlineStr">
        <is>
          <t>cái</t>
        </is>
      </c>
      <c r="E577" s="61" t="inlineStr">
        <is>
          <t>cái</t>
        </is>
      </c>
      <c r="F577" s="88" t="n">
        <v>6</v>
      </c>
      <c r="G577" s="88" t="n">
        <v>6</v>
      </c>
      <c r="H577" s="44">
        <f>IF(OR(ISNUMBER(F577),ISNUMBER(G577)),N(F577)-N(G577),"")</f>
        <v/>
      </c>
      <c r="I577" s="137" t="n"/>
      <c r="J577" s="117">
        <f>IF(OR(ISNUMBER(F577),ISNUMBER(G577)),IF(ISBLANK(G577),"⚠️ Chưa bóc tách định mức",IF(H577&gt;=0,"✅ OK - Cho phép đặt hàng","❌ CHẶN ĐẶT HÀNG - CẦN BẢO VỆ KL")),"")</f>
        <v/>
      </c>
      <c r="K577" s="138">
        <f>IF(OR(ISNUMBER(F577),ISNUMBER(G577)),IF(ISBLANK(G577),"Kỹ sư/Thầu phụ cần bóc tách KL bản vẽ",IF(H577&gt;=0,"Được đặt hàng tối đa "&amp;G577&amp;" "&amp;E577,"Vượt dự toán "&amp;ABS(H577)&amp;" "&amp;E577&amp;" (QS giải trình &amp; duyệt sửa BOQ)")),"")</f>
        <v/>
      </c>
    </row>
    <row r="578" ht="56.1" customHeight="1" s="75">
      <c r="A578" s="58" t="inlineStr">
        <is>
          <t>DHKK-C-II.3.4.9</t>
        </is>
      </c>
      <c r="B578" s="61" t="n">
        <v>9</v>
      </c>
      <c r="C578" s="99" t="inlineStr">
        <is>
          <t>Giảm Lượn SEAD 300x800/300x550 E100 L300 bằng trái
 đầu 300x800 TDC32
 đầu 300x550 TDC60</t>
        </is>
      </c>
      <c r="D578" s="61" t="inlineStr">
        <is>
          <t>cái</t>
        </is>
      </c>
      <c r="E578" s="61" t="inlineStr">
        <is>
          <t>cái</t>
        </is>
      </c>
      <c r="F578" s="88" t="n">
        <v>20</v>
      </c>
      <c r="G578" s="88" t="n">
        <v>20</v>
      </c>
      <c r="H578" s="44">
        <f>IF(OR(ISNUMBER(F578),ISNUMBER(G578)),N(F578)-N(G578),"")</f>
        <v/>
      </c>
      <c r="I578" s="137" t="n"/>
      <c r="J578" s="117">
        <f>IF(OR(ISNUMBER(F578),ISNUMBER(G578)),IF(ISBLANK(G578),"⚠️ Chưa bóc tách định mức",IF(H578&gt;=0,"✅ OK - Cho phép đặt hàng","❌ CHẶN ĐẶT HÀNG - CẦN BẢO VỆ KL")),"")</f>
        <v/>
      </c>
      <c r="K578" s="138">
        <f>IF(OR(ISNUMBER(F578),ISNUMBER(G578)),IF(ISBLANK(G578),"Kỹ sư/Thầu phụ cần bóc tách KL bản vẽ",IF(H578&gt;=0,"Được đặt hàng tối đa "&amp;G578&amp;" "&amp;E578,"Vượt dự toán "&amp;ABS(H578)&amp;" "&amp;E578&amp;" (QS giải trình &amp; duyệt sửa BOQ)")),"")</f>
        <v/>
      </c>
    </row>
    <row r="579" ht="42.3" customHeight="1" s="75">
      <c r="A579" s="58" t="inlineStr">
        <is>
          <t>DHKK-C-II.3.4.10</t>
        </is>
      </c>
      <c r="B579" s="61" t="n">
        <v>10</v>
      </c>
      <c r="C579" s="99" t="inlineStr">
        <is>
          <t>Hộp box 550x300 L1900
 mổ gót MG 1210x410 L150 dưới đáy(suôn)
 mổ nối chân thẳng 800x300 L50 bên hông</t>
        </is>
      </c>
      <c r="D579" s="61" t="inlineStr">
        <is>
          <t>cái</t>
        </is>
      </c>
      <c r="E579" s="61" t="inlineStr">
        <is>
          <t>cái</t>
        </is>
      </c>
      <c r="F579" s="88" t="n">
        <v>26</v>
      </c>
      <c r="G579" s="88" t="n">
        <v>26</v>
      </c>
      <c r="H579" s="44">
        <f>IF(OR(ISNUMBER(F579),ISNUMBER(G579)),N(F579)-N(G579),"")</f>
        <v/>
      </c>
      <c r="I579" s="137" t="n"/>
      <c r="J579" s="117">
        <f>IF(OR(ISNUMBER(F579),ISNUMBER(G579)),IF(ISBLANK(G579),"⚠️ Chưa bóc tách định mức",IF(H579&gt;=0,"✅ OK - Cho phép đặt hàng","❌ CHẶN ĐẶT HÀNG - CẦN BẢO VỆ KL")),"")</f>
        <v/>
      </c>
      <c r="K579" s="138">
        <f>IF(OR(ISNUMBER(F579),ISNUMBER(G579)),IF(ISBLANK(G579),"Kỹ sư/Thầu phụ cần bóc tách KL bản vẽ",IF(H579&gt;=0,"Được đặt hàng tối đa "&amp;G579&amp;" "&amp;E579,"Vượt dự toán "&amp;ABS(H579)&amp;" "&amp;E579&amp;" (QS giải trình &amp; duyệt sửa BOQ)")),"")</f>
        <v/>
      </c>
    </row>
    <row r="580" ht="28.5" customHeight="1" s="75">
      <c r="A580" s="58" t="inlineStr">
        <is>
          <t>DHKK-C-II.3.4.11</t>
        </is>
      </c>
      <c r="B580" s="61" t="n">
        <v>11</v>
      </c>
      <c r="C580" s="99" t="inlineStr">
        <is>
          <t>Ống bít đầu 700x300 L1400
 mổ đáy gót MG 1210x410 L120(suôn)</t>
        </is>
      </c>
      <c r="D580" s="61" t="inlineStr">
        <is>
          <t>cái</t>
        </is>
      </c>
      <c r="E580" s="61" t="inlineStr">
        <is>
          <t>cái</t>
        </is>
      </c>
      <c r="F580" s="88" t="n">
        <v>52</v>
      </c>
      <c r="G580" s="88" t="n">
        <v>52</v>
      </c>
      <c r="H580" s="44">
        <f>IF(OR(ISNUMBER(F580),ISNUMBER(G580)),N(F580)-N(G580),"")</f>
        <v/>
      </c>
      <c r="I580" s="137" t="n"/>
      <c r="J580" s="117">
        <f>IF(OR(ISNUMBER(F580),ISNUMBER(G580)),IF(ISBLANK(G580),"⚠️ Chưa bóc tách định mức",IF(H580&gt;=0,"✅ OK - Cho phép đặt hàng","❌ CHẶN ĐẶT HÀNG - CẦN BẢO VỆ KL")),"")</f>
        <v/>
      </c>
      <c r="K580" s="138">
        <f>IF(OR(ISNUMBER(F580),ISNUMBER(G580)),IF(ISBLANK(G580),"Kỹ sư/Thầu phụ cần bóc tách KL bản vẽ",IF(H580&gt;=0,"Được đặt hàng tối đa "&amp;G580&amp;" "&amp;E580,"Vượt dự toán "&amp;ABS(H580)&amp;" "&amp;E580&amp;" (QS giải trình &amp; duyệt sửa BOQ)")),"")</f>
        <v/>
      </c>
    </row>
    <row r="581" ht="15.6" customHeight="1" s="75">
      <c r="A581" s="58" t="inlineStr">
        <is>
          <t>DHKK-C-II.3.4.12</t>
        </is>
      </c>
      <c r="B581" s="61" t="n">
        <v>12</v>
      </c>
      <c r="C581" s="99" t="inlineStr">
        <is>
          <t>Ống SEAD 700x300 L540</t>
        </is>
      </c>
      <c r="D581" s="61" t="inlineStr">
        <is>
          <t>cái</t>
        </is>
      </c>
      <c r="E581" s="61" t="inlineStr">
        <is>
          <t>cái</t>
        </is>
      </c>
      <c r="F581" s="88" t="n">
        <v>26</v>
      </c>
      <c r="G581" s="88" t="n">
        <v>26</v>
      </c>
      <c r="H581" s="44">
        <f>IF(OR(ISNUMBER(F581),ISNUMBER(G581)),N(F581)-N(G581),"")</f>
        <v/>
      </c>
      <c r="I581" s="137" t="n"/>
      <c r="J581" s="117">
        <f>IF(OR(ISNUMBER(F581),ISNUMBER(G581)),IF(ISBLANK(G581),"⚠️ Chưa bóc tách định mức",IF(H581&gt;=0,"✅ OK - Cho phép đặt hàng","❌ CHẶN ĐẶT HÀNG - CẦN BẢO VỆ KL")),"")</f>
        <v/>
      </c>
      <c r="K581" s="138">
        <f>IF(OR(ISNUMBER(F581),ISNUMBER(G581)),IF(ISBLANK(G581),"Kỹ sư/Thầu phụ cần bóc tách KL bản vẽ",IF(H581&gt;=0,"Được đặt hàng tối đa "&amp;G581&amp;" "&amp;E581,"Vượt dự toán "&amp;ABS(H581)&amp;" "&amp;E581&amp;" (QS giải trình &amp; duyệt sửa BOQ)")),"")</f>
        <v/>
      </c>
    </row>
    <row r="582" ht="28.5" customHeight="1" s="75">
      <c r="A582" s="58" t="inlineStr">
        <is>
          <t>DHKK-C-II.3.4.13</t>
        </is>
      </c>
      <c r="B582" s="61" t="n">
        <v>13</v>
      </c>
      <c r="C582" s="99" t="inlineStr">
        <is>
          <t>Ống bít đầu 1000x300 L880
 mổ 2 gót ống gió 700x300 L200</t>
        </is>
      </c>
      <c r="D582" s="61" t="inlineStr">
        <is>
          <t>cái</t>
        </is>
      </c>
      <c r="E582" s="61" t="inlineStr">
        <is>
          <t>cái</t>
        </is>
      </c>
      <c r="F582" s="88" t="n">
        <v>26</v>
      </c>
      <c r="G582" s="88" t="n">
        <v>26</v>
      </c>
      <c r="H582" s="44">
        <f>IF(OR(ISNUMBER(F582),ISNUMBER(G582)),N(F582)-N(G582),"")</f>
        <v/>
      </c>
      <c r="I582" s="137" t="n"/>
      <c r="J582" s="117">
        <f>IF(OR(ISNUMBER(F582),ISNUMBER(G582)),IF(ISBLANK(G582),"⚠️ Chưa bóc tách định mức",IF(H582&gt;=0,"✅ OK - Cho phép đặt hàng","❌ CHẶN ĐẶT HÀNG - CẦN BẢO VỆ KL")),"")</f>
        <v/>
      </c>
      <c r="K582" s="138">
        <f>IF(OR(ISNUMBER(F582),ISNUMBER(G582)),IF(ISBLANK(G582),"Kỹ sư/Thầu phụ cần bóc tách KL bản vẽ",IF(H582&gt;=0,"Được đặt hàng tối đa "&amp;G582&amp;" "&amp;E582,"Vượt dự toán "&amp;ABS(H582)&amp;" "&amp;E582&amp;" (QS giải trình &amp; duyệt sửa BOQ)")),"")</f>
        <v/>
      </c>
    </row>
    <row r="583" ht="15.6" customHeight="1" s="75">
      <c r="A583" s="58" t="inlineStr">
        <is>
          <t>DHKK-C-II.3.4.14</t>
        </is>
      </c>
      <c r="B583" s="61" t="n">
        <v>14</v>
      </c>
      <c r="C583" s="99" t="inlineStr">
        <is>
          <t>Ống SEAD 700x300 L1110</t>
        </is>
      </c>
      <c r="D583" s="61" t="inlineStr">
        <is>
          <t>cái</t>
        </is>
      </c>
      <c r="E583" s="61" t="inlineStr">
        <is>
          <t>cái</t>
        </is>
      </c>
      <c r="F583" s="88" t="n">
        <v>104</v>
      </c>
      <c r="G583" s="88" t="n">
        <v>104</v>
      </c>
      <c r="H583" s="44">
        <f>IF(OR(ISNUMBER(F583),ISNUMBER(G583)),N(F583)-N(G583),"")</f>
        <v/>
      </c>
      <c r="I583" s="137" t="n"/>
      <c r="J583" s="117">
        <f>IF(OR(ISNUMBER(F583),ISNUMBER(G583)),IF(ISBLANK(G583),"⚠️ Chưa bóc tách định mức",IF(H583&gt;=0,"✅ OK - Cho phép đặt hàng","❌ CHẶN ĐẶT HÀNG - CẦN BẢO VỆ KL")),"")</f>
        <v/>
      </c>
      <c r="K583" s="138">
        <f>IF(OR(ISNUMBER(F583),ISNUMBER(G583)),IF(ISBLANK(G583),"Kỹ sư/Thầu phụ cần bóc tách KL bản vẽ",IF(H583&gt;=0,"Được đặt hàng tối đa "&amp;G583&amp;" "&amp;E583,"Vượt dự toán "&amp;ABS(H583)&amp;" "&amp;E583&amp;" (QS giải trình &amp; duyệt sửa BOQ)")),"")</f>
        <v/>
      </c>
    </row>
    <row r="584" ht="15.6" customHeight="1" s="75">
      <c r="A584" s="58" t="inlineStr">
        <is>
          <t>DHKK-C-II.3.4.15</t>
        </is>
      </c>
      <c r="B584" s="61" t="n">
        <v>15</v>
      </c>
      <c r="C584" s="99" t="inlineStr">
        <is>
          <t>Lượn SEAD 700x300 E160 L650</t>
        </is>
      </c>
      <c r="D584" s="61" t="inlineStr">
        <is>
          <t>cái</t>
        </is>
      </c>
      <c r="E584" s="61" t="inlineStr">
        <is>
          <t>cái</t>
        </is>
      </c>
      <c r="F584" s="88" t="n">
        <v>26</v>
      </c>
      <c r="G584" s="88" t="n">
        <v>26</v>
      </c>
      <c r="H584" s="44">
        <f>IF(OR(ISNUMBER(F584),ISNUMBER(G584)),N(F584)-N(G584),"")</f>
        <v/>
      </c>
      <c r="I584" s="137" t="n"/>
      <c r="J584" s="117">
        <f>IF(OR(ISNUMBER(F584),ISNUMBER(G584)),IF(ISBLANK(G584),"⚠️ Chưa bóc tách định mức",IF(H584&gt;=0,"✅ OK - Cho phép đặt hàng","❌ CHẶN ĐẶT HÀNG - CẦN BẢO VỆ KL")),"")</f>
        <v/>
      </c>
      <c r="K584" s="138">
        <f>IF(OR(ISNUMBER(F584),ISNUMBER(G584)),IF(ISBLANK(G584),"Kỹ sư/Thầu phụ cần bóc tách KL bản vẽ",IF(H584&gt;=0,"Được đặt hàng tối đa "&amp;G584&amp;" "&amp;E584,"Vượt dự toán "&amp;ABS(H584)&amp;" "&amp;E584&amp;" (QS giải trình &amp; duyệt sửa BOQ)")),"")</f>
        <v/>
      </c>
    </row>
    <row r="585" ht="15.6" customHeight="1" s="75">
      <c r="A585" s="58" t="inlineStr">
        <is>
          <t>DHKK-C-II.3.4.16</t>
        </is>
      </c>
      <c r="B585" s="61" t="n">
        <v>16</v>
      </c>
      <c r="C585" s="99" t="inlineStr">
        <is>
          <t>Co 90 SEAD 700x300 R300</t>
        </is>
      </c>
      <c r="D585" s="61" t="inlineStr">
        <is>
          <t>cái</t>
        </is>
      </c>
      <c r="E585" s="61" t="inlineStr">
        <is>
          <t>cái</t>
        </is>
      </c>
      <c r="F585" s="88" t="n">
        <v>26</v>
      </c>
      <c r="G585" s="88" t="n">
        <v>26</v>
      </c>
      <c r="H585" s="44">
        <f>IF(OR(ISNUMBER(F585),ISNUMBER(G585)),N(F585)-N(G585),"")</f>
        <v/>
      </c>
      <c r="I585" s="137" t="n"/>
      <c r="J585" s="117">
        <f>IF(OR(ISNUMBER(F585),ISNUMBER(G585)),IF(ISBLANK(G585),"⚠️ Chưa bóc tách định mức",IF(H585&gt;=0,"✅ OK - Cho phép đặt hàng","❌ CHẶN ĐẶT HÀNG - CẦN BẢO VỆ KL")),"")</f>
        <v/>
      </c>
      <c r="K585" s="138">
        <f>IF(OR(ISNUMBER(F585),ISNUMBER(G585)),IF(ISBLANK(G585),"Kỹ sư/Thầu phụ cần bóc tách KL bản vẽ",IF(H585&gt;=0,"Được đặt hàng tối đa "&amp;G585&amp;" "&amp;E585,"Vượt dự toán "&amp;ABS(H585)&amp;" "&amp;E585&amp;" (QS giải trình &amp; duyệt sửa BOQ)")),"")</f>
        <v/>
      </c>
    </row>
    <row r="586" ht="15.6" customHeight="1" s="75">
      <c r="A586" s="58" t="inlineStr">
        <is>
          <t>DHKK-C-II.3.4.17</t>
        </is>
      </c>
      <c r="B586" s="61" t="n">
        <v>17</v>
      </c>
      <c r="C586" s="99" t="inlineStr">
        <is>
          <t>Ống SEAD 700x300 L400</t>
        </is>
      </c>
      <c r="D586" s="61" t="inlineStr">
        <is>
          <t>cái</t>
        </is>
      </c>
      <c r="E586" s="61" t="inlineStr">
        <is>
          <t>cái</t>
        </is>
      </c>
      <c r="F586" s="88" t="n">
        <v>26</v>
      </c>
      <c r="G586" s="88" t="n">
        <v>26</v>
      </c>
      <c r="H586" s="44">
        <f>IF(OR(ISNUMBER(F586),ISNUMBER(G586)),N(F586)-N(G586),"")</f>
        <v/>
      </c>
      <c r="I586" s="137" t="n"/>
      <c r="J586" s="117">
        <f>IF(OR(ISNUMBER(F586),ISNUMBER(G586)),IF(ISBLANK(G586),"⚠️ Chưa bóc tách định mức",IF(H586&gt;=0,"✅ OK - Cho phép đặt hàng","❌ CHẶN ĐẶT HÀNG - CẦN BẢO VỆ KL")),"")</f>
        <v/>
      </c>
      <c r="K586" s="138">
        <f>IF(OR(ISNUMBER(F586),ISNUMBER(G586)),IF(ISBLANK(G586),"Kỹ sư/Thầu phụ cần bóc tách KL bản vẽ",IF(H586&gt;=0,"Được đặt hàng tối đa "&amp;G586&amp;" "&amp;E586,"Vượt dự toán "&amp;ABS(H586)&amp;" "&amp;E586&amp;" (QS giải trình &amp; duyệt sửa BOQ)")),"")</f>
        <v/>
      </c>
    </row>
    <row r="587" ht="15.6" customHeight="1" s="75">
      <c r="A587" s="58" t="inlineStr">
        <is>
          <t>DHKK-C-II.3.4.18</t>
        </is>
      </c>
      <c r="B587" s="61" t="n">
        <v>18</v>
      </c>
      <c r="C587" s="99" t="inlineStr">
        <is>
          <t>Giảm đều đồng tâm SEAD 1050x200/700x300 L400</t>
        </is>
      </c>
      <c r="D587" s="61" t="inlineStr">
        <is>
          <t>cái</t>
        </is>
      </c>
      <c r="E587" s="61" t="inlineStr">
        <is>
          <t>cái</t>
        </is>
      </c>
      <c r="F587" s="88" t="n">
        <v>26</v>
      </c>
      <c r="G587" s="88" t="n">
        <v>26</v>
      </c>
      <c r="H587" s="44">
        <f>IF(OR(ISNUMBER(F587),ISNUMBER(G587)),N(F587)-N(G587),"")</f>
        <v/>
      </c>
      <c r="I587" s="137" t="n"/>
      <c r="J587" s="117">
        <f>IF(OR(ISNUMBER(F587),ISNUMBER(G587)),IF(ISBLANK(G587),"⚠️ Chưa bóc tách định mức",IF(H587&gt;=0,"✅ OK - Cho phép đặt hàng","❌ CHẶN ĐẶT HÀNG - CẦN BẢO VỆ KL")),"")</f>
        <v/>
      </c>
      <c r="K587" s="138">
        <f>IF(OR(ISNUMBER(F587),ISNUMBER(G587)),IF(ISBLANK(G587),"Kỹ sư/Thầu phụ cần bóc tách KL bản vẽ",IF(H587&gt;=0,"Được đặt hàng tối đa "&amp;G587&amp;" "&amp;E587,"Vượt dự toán "&amp;ABS(H587)&amp;" "&amp;E587&amp;" (QS giải trình &amp; duyệt sửa BOQ)")),"")</f>
        <v/>
      </c>
    </row>
    <row r="588" ht="15.6" customHeight="1" s="75">
      <c r="A588" s="58" t="inlineStr">
        <is>
          <t>DHKK-C-II.3.4.19</t>
        </is>
      </c>
      <c r="B588" s="61" t="n">
        <v>19</v>
      </c>
      <c r="C588" s="99" t="inlineStr">
        <is>
          <t>Ống SEAD 1050x200 L820</t>
        </is>
      </c>
      <c r="D588" s="61" t="inlineStr">
        <is>
          <t>cái</t>
        </is>
      </c>
      <c r="E588" s="61" t="inlineStr">
        <is>
          <t>cái</t>
        </is>
      </c>
      <c r="F588" s="88" t="n">
        <v>26</v>
      </c>
      <c r="G588" s="88" t="n">
        <v>26</v>
      </c>
      <c r="H588" s="44">
        <f>IF(OR(ISNUMBER(F588),ISNUMBER(G588)),N(F588)-N(G588),"")</f>
        <v/>
      </c>
      <c r="I588" s="137" t="n"/>
      <c r="J588" s="117">
        <f>IF(OR(ISNUMBER(F588),ISNUMBER(G588)),IF(ISBLANK(G588),"⚠️ Chưa bóc tách định mức",IF(H588&gt;=0,"✅ OK - Cho phép đặt hàng","❌ CHẶN ĐẶT HÀNG - CẦN BẢO VỆ KL")),"")</f>
        <v/>
      </c>
      <c r="K588" s="138">
        <f>IF(OR(ISNUMBER(F588),ISNUMBER(G588)),IF(ISBLANK(G588),"Kỹ sư/Thầu phụ cần bóc tách KL bản vẽ",IF(H588&gt;=0,"Được đặt hàng tối đa "&amp;G588&amp;" "&amp;E588,"Vượt dự toán "&amp;ABS(H588)&amp;" "&amp;E588&amp;" (QS giải trình &amp; duyệt sửa BOQ)")),"")</f>
        <v/>
      </c>
    </row>
    <row r="589" ht="28.5" customHeight="1" s="75">
      <c r="A589" s="58" t="inlineStr">
        <is>
          <t>DHKK-C-II.3.4.20</t>
        </is>
      </c>
      <c r="B589" s="61" t="n">
        <v>20</v>
      </c>
      <c r="C589" s="99" t="inlineStr">
        <is>
          <t>Ống bít đầu 1050x200 L1400
 mổ đáy gót MG 1210x410 L170 đồng tâm(suôn)</t>
        </is>
      </c>
      <c r="D589" s="61" t="inlineStr">
        <is>
          <t>cái</t>
        </is>
      </c>
      <c r="E589" s="61" t="inlineStr">
        <is>
          <t>cái</t>
        </is>
      </c>
      <c r="F589" s="88" t="n">
        <v>26</v>
      </c>
      <c r="G589" s="88" t="n">
        <v>26</v>
      </c>
      <c r="H589" s="44">
        <f>IF(OR(ISNUMBER(F589),ISNUMBER(G589)),N(F589)-N(G589),"")</f>
        <v/>
      </c>
      <c r="I589" s="137" t="n"/>
      <c r="J589" s="117">
        <f>IF(OR(ISNUMBER(F589),ISNUMBER(G589)),IF(ISBLANK(G589),"⚠️ Chưa bóc tách định mức",IF(H589&gt;=0,"✅ OK - Cho phép đặt hàng","❌ CHẶN ĐẶT HÀNG - CẦN BẢO VỆ KL")),"")</f>
        <v/>
      </c>
      <c r="K589" s="138">
        <f>IF(OR(ISNUMBER(F589),ISNUMBER(G589)),IF(ISBLANK(G589),"Kỹ sư/Thầu phụ cần bóc tách KL bản vẽ",IF(H589&gt;=0,"Được đặt hàng tối đa "&amp;G589&amp;" "&amp;E589,"Vượt dự toán "&amp;ABS(H589)&amp;" "&amp;E589&amp;" (QS giải trình &amp; duyệt sửa BOQ)")),"")</f>
        <v/>
      </c>
    </row>
    <row r="590" ht="15.6" customHeight="1" s="75">
      <c r="A590" s="58" t="inlineStr">
        <is>
          <t>DHKK-C-II.3.4.21</t>
        </is>
      </c>
      <c r="B590" s="61" t="n">
        <v>21</v>
      </c>
      <c r="C590" s="99" t="inlineStr">
        <is>
          <t>Ống SEAD 700x300 L1110</t>
        </is>
      </c>
      <c r="D590" s="61" t="inlineStr">
        <is>
          <t>cái</t>
        </is>
      </c>
      <c r="E590" s="61" t="inlineStr">
        <is>
          <t>cái</t>
        </is>
      </c>
      <c r="F590" s="88" t="n">
        <v>624</v>
      </c>
      <c r="G590" s="88" t="n">
        <v>624</v>
      </c>
      <c r="H590" s="44">
        <f>IF(OR(ISNUMBER(F590),ISNUMBER(G590)),N(F590)-N(G590),"")</f>
        <v/>
      </c>
      <c r="I590" s="137" t="n"/>
      <c r="J590" s="117">
        <f>IF(OR(ISNUMBER(F590),ISNUMBER(G590)),IF(ISBLANK(G590),"⚠️ Chưa bóc tách định mức",IF(H590&gt;=0,"✅ OK - Cho phép đặt hàng","❌ CHẶN ĐẶT HÀNG - CẦN BẢO VỆ KL")),"")</f>
        <v/>
      </c>
      <c r="K590" s="138">
        <f>IF(OR(ISNUMBER(F590),ISNUMBER(G590)),IF(ISBLANK(G590),"Kỹ sư/Thầu phụ cần bóc tách KL bản vẽ",IF(H590&gt;=0,"Được đặt hàng tối đa "&amp;G590&amp;" "&amp;E590,"Vượt dự toán "&amp;ABS(H590)&amp;" "&amp;E590&amp;" (QS giải trình &amp; duyệt sửa BOQ)")),"")</f>
        <v/>
      </c>
    </row>
    <row r="591" ht="15.6" customHeight="1" s="75">
      <c r="A591" s="58" t="inlineStr">
        <is>
          <t>DHKK-C-II.3.4.22</t>
        </is>
      </c>
      <c r="B591" s="61" t="n">
        <v>22</v>
      </c>
      <c r="C591" s="99" t="inlineStr">
        <is>
          <t>Ống SEAD 700x300 L890</t>
        </is>
      </c>
      <c r="D591" s="61" t="inlineStr">
        <is>
          <t>cái</t>
        </is>
      </c>
      <c r="E591" s="61" t="inlineStr">
        <is>
          <t>cái</t>
        </is>
      </c>
      <c r="F591" s="88" t="n">
        <v>26</v>
      </c>
      <c r="G591" s="88" t="n">
        <v>26</v>
      </c>
      <c r="H591" s="44">
        <f>IF(OR(ISNUMBER(F591),ISNUMBER(G591)),N(F591)-N(G591),"")</f>
        <v/>
      </c>
      <c r="I591" s="137" t="n"/>
      <c r="J591" s="117">
        <f>IF(OR(ISNUMBER(F591),ISNUMBER(G591)),IF(ISBLANK(G591),"⚠️ Chưa bóc tách định mức",IF(H591&gt;=0,"✅ OK - Cho phép đặt hàng","❌ CHẶN ĐẶT HÀNG - CẦN BẢO VỆ KL")),"")</f>
        <v/>
      </c>
      <c r="K591" s="138">
        <f>IF(OR(ISNUMBER(F591),ISNUMBER(G591)),IF(ISBLANK(G591),"Kỹ sư/Thầu phụ cần bóc tách KL bản vẽ",IF(H591&gt;=0,"Được đặt hàng tối đa "&amp;G591&amp;" "&amp;E591,"Vượt dự toán "&amp;ABS(H591)&amp;" "&amp;E591&amp;" (QS giải trình &amp; duyệt sửa BOQ)")),"")</f>
        <v/>
      </c>
    </row>
    <row r="592" ht="15.6" customHeight="1" s="75">
      <c r="A592" s="58" t="inlineStr">
        <is>
          <t>DHKK-C-II.3.4.23</t>
        </is>
      </c>
      <c r="B592" s="61" t="n">
        <v>23</v>
      </c>
      <c r="C592" s="99" t="inlineStr">
        <is>
          <t>Ống SEAD 700x300 L830</t>
        </is>
      </c>
      <c r="D592" s="61" t="inlineStr">
        <is>
          <t>cái</t>
        </is>
      </c>
      <c r="E592" s="61" t="inlineStr">
        <is>
          <t>cái</t>
        </is>
      </c>
      <c r="F592" s="88" t="n">
        <v>26</v>
      </c>
      <c r="G592" s="88" t="n">
        <v>26</v>
      </c>
      <c r="H592" s="44">
        <f>IF(OR(ISNUMBER(F592),ISNUMBER(G592)),N(F592)-N(G592),"")</f>
        <v/>
      </c>
      <c r="I592" s="137" t="n"/>
      <c r="J592" s="117">
        <f>IF(OR(ISNUMBER(F592),ISNUMBER(G592)),IF(ISBLANK(G592),"⚠️ Chưa bóc tách định mức",IF(H592&gt;=0,"✅ OK - Cho phép đặt hàng","❌ CHẶN ĐẶT HÀNG - CẦN BẢO VỆ KL")),"")</f>
        <v/>
      </c>
      <c r="K592" s="138">
        <f>IF(OR(ISNUMBER(F592),ISNUMBER(G592)),IF(ISBLANK(G592),"Kỹ sư/Thầu phụ cần bóc tách KL bản vẽ",IF(H592&gt;=0,"Được đặt hàng tối đa "&amp;G592&amp;" "&amp;E592,"Vượt dự toán "&amp;ABS(H592)&amp;" "&amp;E592&amp;" (QS giải trình &amp; duyệt sửa BOQ)")),"")</f>
        <v/>
      </c>
    </row>
    <row r="593" ht="15.6" customHeight="1" s="75">
      <c r="A593" s="58" t="inlineStr">
        <is>
          <t>DHKK-C-II.3.4.24</t>
        </is>
      </c>
      <c r="B593" s="61" t="n">
        <v>24</v>
      </c>
      <c r="C593" s="99" t="inlineStr">
        <is>
          <t>Lượn SEAD 700x300 E50 L500</t>
        </is>
      </c>
      <c r="D593" s="61" t="inlineStr">
        <is>
          <t>cái</t>
        </is>
      </c>
      <c r="E593" s="61" t="inlineStr">
        <is>
          <t>cái</t>
        </is>
      </c>
      <c r="F593" s="88" t="n">
        <v>26</v>
      </c>
      <c r="G593" s="88" t="n">
        <v>26</v>
      </c>
      <c r="H593" s="44">
        <f>IF(OR(ISNUMBER(F593),ISNUMBER(G593)),N(F593)-N(G593),"")</f>
        <v/>
      </c>
      <c r="I593" s="137" t="n"/>
      <c r="J593" s="117">
        <f>IF(OR(ISNUMBER(F593),ISNUMBER(G593)),IF(ISBLANK(G593),"⚠️ Chưa bóc tách định mức",IF(H593&gt;=0,"✅ OK - Cho phép đặt hàng","❌ CHẶN ĐẶT HÀNG - CẦN BẢO VỆ KL")),"")</f>
        <v/>
      </c>
      <c r="K593" s="138">
        <f>IF(OR(ISNUMBER(F593),ISNUMBER(G593)),IF(ISBLANK(G593),"Kỹ sư/Thầu phụ cần bóc tách KL bản vẽ",IF(H593&gt;=0,"Được đặt hàng tối đa "&amp;G593&amp;" "&amp;E593,"Vượt dự toán "&amp;ABS(H593)&amp;" "&amp;E593&amp;" (QS giải trình &amp; duyệt sửa BOQ)")),"")</f>
        <v/>
      </c>
    </row>
    <row r="594" ht="28.5" customHeight="1" s="75">
      <c r="A594" s="58" t="inlineStr">
        <is>
          <t>DHKK-C-II.3.4.25</t>
        </is>
      </c>
      <c r="B594" s="61" t="n">
        <v>25</v>
      </c>
      <c r="C594" s="99" t="inlineStr">
        <is>
          <t>Ống bít đầu 1000x300 L820
 mổ 2 gót ống 700x300 L200 2 bên hông</t>
        </is>
      </c>
      <c r="D594" s="61" t="inlineStr">
        <is>
          <t>cái</t>
        </is>
      </c>
      <c r="E594" s="61" t="inlineStr">
        <is>
          <t>cái</t>
        </is>
      </c>
      <c r="F594" s="88" t="n">
        <v>26</v>
      </c>
      <c r="G594" s="88" t="n">
        <v>26</v>
      </c>
      <c r="H594" s="44">
        <f>IF(OR(ISNUMBER(F594),ISNUMBER(G594)),N(F594)-N(G594),"")</f>
        <v/>
      </c>
      <c r="I594" s="137" t="n"/>
      <c r="J594" s="117">
        <f>IF(OR(ISNUMBER(F594),ISNUMBER(G594)),IF(ISBLANK(G594),"⚠️ Chưa bóc tách định mức",IF(H594&gt;=0,"✅ OK - Cho phép đặt hàng","❌ CHẶN ĐẶT HÀNG - CẦN BẢO VỆ KL")),"")</f>
        <v/>
      </c>
      <c r="K594" s="138">
        <f>IF(OR(ISNUMBER(F594),ISNUMBER(G594)),IF(ISBLANK(G594),"Kỹ sư/Thầu phụ cần bóc tách KL bản vẽ",IF(H594&gt;=0,"Được đặt hàng tối đa "&amp;G594&amp;" "&amp;E594,"Vượt dự toán "&amp;ABS(H594)&amp;" "&amp;E594&amp;" (QS giải trình &amp; duyệt sửa BOQ)")),"")</f>
        <v/>
      </c>
    </row>
    <row r="595" ht="28.5" customHeight="1" s="75">
      <c r="A595" s="58" t="inlineStr">
        <is>
          <t>DHKK-C-II.3.4.26</t>
        </is>
      </c>
      <c r="B595" s="61" t="n">
        <v>26</v>
      </c>
      <c r="C595" s="99" t="inlineStr">
        <is>
          <t>Ống bít đầu 1000x300 L880
 mổ 2 gót ống 700x300 L200 2 bên hông</t>
        </is>
      </c>
      <c r="D595" s="61" t="inlineStr">
        <is>
          <t>cái</t>
        </is>
      </c>
      <c r="E595" s="61" t="inlineStr">
        <is>
          <t>cái</t>
        </is>
      </c>
      <c r="F595" s="88" t="n">
        <v>26</v>
      </c>
      <c r="G595" s="88" t="n">
        <v>26</v>
      </c>
      <c r="H595" s="44">
        <f>IF(OR(ISNUMBER(F595),ISNUMBER(G595)),N(F595)-N(G595),"")</f>
        <v/>
      </c>
      <c r="I595" s="137" t="n"/>
      <c r="J595" s="117">
        <f>IF(OR(ISNUMBER(F595),ISNUMBER(G595)),IF(ISBLANK(G595),"⚠️ Chưa bóc tách định mức",IF(H595&gt;=0,"✅ OK - Cho phép đặt hàng","❌ CHẶN ĐẶT HÀNG - CẦN BẢO VỆ KL")),"")</f>
        <v/>
      </c>
      <c r="K595" s="138">
        <f>IF(OR(ISNUMBER(F595),ISNUMBER(G595)),IF(ISBLANK(G595),"Kỹ sư/Thầu phụ cần bóc tách KL bản vẽ",IF(H595&gt;=0,"Được đặt hàng tối đa "&amp;G595&amp;" "&amp;E595,"Vượt dự toán "&amp;ABS(H595)&amp;" "&amp;E595&amp;" (QS giải trình &amp; duyệt sửa BOQ)")),"")</f>
        <v/>
      </c>
    </row>
    <row r="596" ht="15.6" customHeight="1" s="75">
      <c r="A596" s="58" t="inlineStr">
        <is>
          <t>DHKK-C-II.3.4.27</t>
        </is>
      </c>
      <c r="B596" s="61" t="n">
        <v>27</v>
      </c>
      <c r="C596" s="99" t="inlineStr">
        <is>
          <t>Lượn SEAD 700x300 E50 L720</t>
        </is>
      </c>
      <c r="D596" s="61" t="inlineStr">
        <is>
          <t>cái</t>
        </is>
      </c>
      <c r="E596" s="61" t="inlineStr">
        <is>
          <t>cái</t>
        </is>
      </c>
      <c r="F596" s="88" t="n">
        <v>6</v>
      </c>
      <c r="G596" s="88" t="n">
        <v>6</v>
      </c>
      <c r="H596" s="44">
        <f>IF(OR(ISNUMBER(F596),ISNUMBER(G596)),N(F596)-N(G596),"")</f>
        <v/>
      </c>
      <c r="I596" s="137" t="n"/>
      <c r="J596" s="117">
        <f>IF(OR(ISNUMBER(F596),ISNUMBER(G596)),IF(ISBLANK(G596),"⚠️ Chưa bóc tách định mức",IF(H596&gt;=0,"✅ OK - Cho phép đặt hàng","❌ CHẶN ĐẶT HÀNG - CẦN BẢO VỆ KL")),"")</f>
        <v/>
      </c>
      <c r="K596" s="138">
        <f>IF(OR(ISNUMBER(F596),ISNUMBER(G596)),IF(ISBLANK(G596),"Kỹ sư/Thầu phụ cần bóc tách KL bản vẽ",IF(H596&gt;=0,"Được đặt hàng tối đa "&amp;G596&amp;" "&amp;E596,"Vượt dự toán "&amp;ABS(H596)&amp;" "&amp;E596&amp;" (QS giải trình &amp; duyệt sửa BOQ)")),"")</f>
        <v/>
      </c>
    </row>
    <row r="597" ht="15.6" customHeight="1" s="75">
      <c r="A597" s="58" t="inlineStr">
        <is>
          <t>DHKK-C-II.3.4.28</t>
        </is>
      </c>
      <c r="B597" s="61" t="n">
        <v>28</v>
      </c>
      <c r="C597" s="99" t="inlineStr">
        <is>
          <t>Lượn SEAD 700x300 E50 L640</t>
        </is>
      </c>
      <c r="D597" s="61" t="inlineStr">
        <is>
          <t>cái</t>
        </is>
      </c>
      <c r="E597" s="61" t="inlineStr">
        <is>
          <t>cái</t>
        </is>
      </c>
      <c r="F597" s="88" t="n">
        <v>20</v>
      </c>
      <c r="G597" s="88" t="n">
        <v>20</v>
      </c>
      <c r="H597" s="44">
        <f>IF(OR(ISNUMBER(F597),ISNUMBER(G597)),N(F597)-N(G597),"")</f>
        <v/>
      </c>
      <c r="I597" s="137" t="n"/>
      <c r="J597" s="117">
        <f>IF(OR(ISNUMBER(F597),ISNUMBER(G597)),IF(ISBLANK(G597),"⚠️ Chưa bóc tách định mức",IF(H597&gt;=0,"✅ OK - Cho phép đặt hàng","❌ CHẶN ĐẶT HÀNG - CẦN BẢO VỆ KL")),"")</f>
        <v/>
      </c>
      <c r="K597" s="138">
        <f>IF(OR(ISNUMBER(F597),ISNUMBER(G597)),IF(ISBLANK(G597),"Kỹ sư/Thầu phụ cần bóc tách KL bản vẽ",IF(H597&gt;=0,"Được đặt hàng tối đa "&amp;G597&amp;" "&amp;E597,"Vượt dự toán "&amp;ABS(H597)&amp;" "&amp;E597&amp;" (QS giải trình &amp; duyệt sửa BOQ)")),"")</f>
        <v/>
      </c>
    </row>
    <row r="598" ht="28.5" customHeight="1" s="75">
      <c r="A598" s="58" t="inlineStr">
        <is>
          <t>DHKK-C-II.3.4.29</t>
        </is>
      </c>
      <c r="B598" s="61" t="n">
        <v>29</v>
      </c>
      <c r="C598" s="99" t="inlineStr">
        <is>
          <t>Ống bít đầu 700x300 L1400
 mổ đáy gót MG 1210x410 L120(suôn)</t>
        </is>
      </c>
      <c r="D598" s="61" t="inlineStr">
        <is>
          <t>cái</t>
        </is>
      </c>
      <c r="E598" s="61" t="inlineStr">
        <is>
          <t>cái</t>
        </is>
      </c>
      <c r="F598" s="88" t="n">
        <v>26</v>
      </c>
      <c r="G598" s="88" t="n">
        <v>26</v>
      </c>
      <c r="H598" s="44">
        <f>IF(OR(ISNUMBER(F598),ISNUMBER(G598)),N(F598)-N(G598),"")</f>
        <v/>
      </c>
      <c r="I598" s="137" t="n"/>
      <c r="J598" s="117">
        <f>IF(OR(ISNUMBER(F598),ISNUMBER(G598)),IF(ISBLANK(G598),"⚠️ Chưa bóc tách định mức",IF(H598&gt;=0,"✅ OK - Cho phép đặt hàng","❌ CHẶN ĐẶT HÀNG - CẦN BẢO VỆ KL")),"")</f>
        <v/>
      </c>
      <c r="K598" s="138">
        <f>IF(OR(ISNUMBER(F598),ISNUMBER(G598)),IF(ISBLANK(G598),"Kỹ sư/Thầu phụ cần bóc tách KL bản vẽ",IF(H598&gt;=0,"Được đặt hàng tối đa "&amp;G598&amp;" "&amp;E598,"Vượt dự toán "&amp;ABS(H598)&amp;" "&amp;E598&amp;" (QS giải trình &amp; duyệt sửa BOQ)")),"")</f>
        <v/>
      </c>
    </row>
    <row r="599" ht="15.6" customHeight="1" s="75">
      <c r="A599" s="58" t="inlineStr">
        <is>
          <t>DHKK-C-II.3.4.30</t>
        </is>
      </c>
      <c r="B599" s="61" t="n">
        <v>30</v>
      </c>
      <c r="C599" s="99" t="inlineStr">
        <is>
          <t>Ống SEAD 700x300 L1010</t>
        </is>
      </c>
      <c r="D599" s="61" t="inlineStr">
        <is>
          <t>cái</t>
        </is>
      </c>
      <c r="E599" s="61" t="inlineStr">
        <is>
          <t>cái</t>
        </is>
      </c>
      <c r="F599" s="88" t="n">
        <v>52</v>
      </c>
      <c r="G599" s="88" t="n">
        <v>52</v>
      </c>
      <c r="H599" s="44">
        <f>IF(OR(ISNUMBER(F599),ISNUMBER(G599)),N(F599)-N(G599),"")</f>
        <v/>
      </c>
      <c r="I599" s="137" t="n"/>
      <c r="J599" s="117">
        <f>IF(OR(ISNUMBER(F599),ISNUMBER(G599)),IF(ISBLANK(G599),"⚠️ Chưa bóc tách định mức",IF(H599&gt;=0,"✅ OK - Cho phép đặt hàng","❌ CHẶN ĐẶT HÀNG - CẦN BẢO VỆ KL")),"")</f>
        <v/>
      </c>
      <c r="K599" s="138">
        <f>IF(OR(ISNUMBER(F599),ISNUMBER(G599)),IF(ISBLANK(G599),"Kỹ sư/Thầu phụ cần bóc tách KL bản vẽ",IF(H599&gt;=0,"Được đặt hàng tối đa "&amp;G599&amp;" "&amp;E599,"Vượt dự toán "&amp;ABS(H599)&amp;" "&amp;E599&amp;" (QS giải trình &amp; duyệt sửa BOQ)")),"")</f>
        <v/>
      </c>
    </row>
    <row r="600" ht="15.6" customHeight="1" s="75">
      <c r="A600" s="58" t="inlineStr">
        <is>
          <t>DHKK-C-II.3.4.31</t>
        </is>
      </c>
      <c r="B600" s="61" t="n">
        <v>31</v>
      </c>
      <c r="C600" s="99" t="inlineStr">
        <is>
          <t>Lượn 300x700 E50 L150</t>
        </is>
      </c>
      <c r="D600" s="61" t="inlineStr">
        <is>
          <t>cái</t>
        </is>
      </c>
      <c r="E600" s="61" t="inlineStr">
        <is>
          <t>cái</t>
        </is>
      </c>
      <c r="F600" s="88" t="n">
        <v>26</v>
      </c>
      <c r="G600" s="88" t="n">
        <v>26</v>
      </c>
      <c r="H600" s="44">
        <f>IF(OR(ISNUMBER(F600),ISNUMBER(G600)),N(F600)-N(G600),"")</f>
        <v/>
      </c>
      <c r="I600" s="137" t="n"/>
      <c r="J600" s="117">
        <f>IF(OR(ISNUMBER(F600),ISNUMBER(G600)),IF(ISBLANK(G600),"⚠️ Chưa bóc tách định mức",IF(H600&gt;=0,"✅ OK - Cho phép đặt hàng","❌ CHẶN ĐẶT HÀNG - CẦN BẢO VỆ KL")),"")</f>
        <v/>
      </c>
      <c r="K600" s="138">
        <f>IF(OR(ISNUMBER(F600),ISNUMBER(G600)),IF(ISBLANK(G600),"Kỹ sư/Thầu phụ cần bóc tách KL bản vẽ",IF(H600&gt;=0,"Được đặt hàng tối đa "&amp;G600&amp;" "&amp;E600,"Vượt dự toán "&amp;ABS(H600)&amp;" "&amp;E600&amp;" (QS giải trình &amp; duyệt sửa BOQ)")),"")</f>
        <v/>
      </c>
    </row>
    <row r="601" ht="15.6" customHeight="1" s="75">
      <c r="A601" s="58" t="inlineStr">
        <is>
          <t>DHKK-C-II.3.4.32</t>
        </is>
      </c>
      <c r="B601" s="61" t="n">
        <v>32</v>
      </c>
      <c r="C601" s="99" t="inlineStr">
        <is>
          <t>Lượn 300x1000 E50 L150</t>
        </is>
      </c>
      <c r="D601" s="61" t="inlineStr">
        <is>
          <t>cái</t>
        </is>
      </c>
      <c r="E601" s="61" t="inlineStr">
        <is>
          <t>cái</t>
        </is>
      </c>
      <c r="F601" s="88" t="n">
        <v>52</v>
      </c>
      <c r="G601" s="88" t="n">
        <v>52</v>
      </c>
      <c r="H601" s="44">
        <f>IF(OR(ISNUMBER(F601),ISNUMBER(G601)),N(F601)-N(G601),"")</f>
        <v/>
      </c>
      <c r="I601" s="137" t="n"/>
      <c r="J601" s="117">
        <f>IF(OR(ISNUMBER(F601),ISNUMBER(G601)),IF(ISBLANK(G601),"⚠️ Chưa bóc tách định mức",IF(H601&gt;=0,"✅ OK - Cho phép đặt hàng","❌ CHẶN ĐẶT HÀNG - CẦN BẢO VỆ KL")),"")</f>
        <v/>
      </c>
      <c r="K601" s="138">
        <f>IF(OR(ISNUMBER(F601),ISNUMBER(G601)),IF(ISBLANK(G601),"Kỹ sư/Thầu phụ cần bóc tách KL bản vẽ",IF(H601&gt;=0,"Được đặt hàng tối đa "&amp;G601&amp;" "&amp;E601,"Vượt dự toán "&amp;ABS(H601)&amp;" "&amp;E601&amp;" (QS giải trình &amp; duyệt sửa BOQ)")),"")</f>
        <v/>
      </c>
    </row>
    <row r="602" ht="15.6" customHeight="1" s="75">
      <c r="A602" s="58" t="inlineStr">
        <is>
          <t>DHKK-C-II.3.4.33</t>
        </is>
      </c>
      <c r="B602" s="61" t="n">
        <v>33</v>
      </c>
      <c r="C602" s="99" t="inlineStr">
        <is>
          <t>Ống 1150x300 L150</t>
        </is>
      </c>
      <c r="D602" s="61" t="inlineStr">
        <is>
          <t>cái</t>
        </is>
      </c>
      <c r="E602" s="61" t="inlineStr">
        <is>
          <t>cái</t>
        </is>
      </c>
      <c r="F602" s="88" t="n">
        <v>1</v>
      </c>
      <c r="G602" s="88" t="n">
        <v>1</v>
      </c>
      <c r="H602" s="44">
        <f>IF(OR(ISNUMBER(F602),ISNUMBER(G602)),N(F602)-N(G602),"")</f>
        <v/>
      </c>
      <c r="I602" s="137" t="n"/>
      <c r="J602" s="117">
        <f>IF(OR(ISNUMBER(F602),ISNUMBER(G602)),IF(ISBLANK(G602),"⚠️ Chưa bóc tách định mức",IF(H602&gt;=0,"✅ OK - Cho phép đặt hàng","❌ CHẶN ĐẶT HÀNG - CẦN BẢO VỆ KL")),"")</f>
        <v/>
      </c>
      <c r="K602" s="138">
        <f>IF(OR(ISNUMBER(F602),ISNUMBER(G602)),IF(ISBLANK(G602),"Kỹ sư/Thầu phụ cần bóc tách KL bản vẽ",IF(H602&gt;=0,"Được đặt hàng tối đa "&amp;G602&amp;" "&amp;E602,"Vượt dự toán "&amp;ABS(H602)&amp;" "&amp;E602&amp;" (QS giải trình &amp; duyệt sửa BOQ)")),"")</f>
        <v/>
      </c>
    </row>
    <row r="603" ht="28.8" customHeight="1" s="75">
      <c r="A603" s="58" t="inlineStr">
        <is>
          <t>DHKK-C-II.3.5.0</t>
        </is>
      </c>
      <c r="B603" s="24" t="n"/>
      <c r="C603" s="98" t="inlineStr">
        <is>
          <t>Ống gió tole mạ kẽm dày 0.75mm, chống cháy EI120</t>
        </is>
      </c>
      <c r="D603" s="61" t="inlineStr">
        <is>
          <t>m2</t>
        </is>
      </c>
      <c r="E603" s="61" t="inlineStr">
        <is>
          <t>m2</t>
        </is>
      </c>
      <c r="F603" s="88" t="n">
        <v>60</v>
      </c>
      <c r="G603" s="85" t="n"/>
      <c r="H603" s="42">
        <f>IF(OR(ISNUMBER(F603),ISNUMBER(G603)),N(F603)-N(G603),"")</f>
        <v/>
      </c>
      <c r="I603" s="137" t="n"/>
      <c r="J603" s="117">
        <f>IF(OR(ISNUMBER(F603),ISNUMBER(G603)),IF(ISBLANK(G603),"⚠️ Chưa bóc tách định mức",IF(H603&gt;=0,"✅ OK - Cho phép đặt hàng","❌ CHẶN ĐẶT HÀNG - CẦN BẢO VỆ KL")),"")</f>
        <v/>
      </c>
      <c r="K603" s="138">
        <f>IF(OR(ISNUMBER(F603),ISNUMBER(G603)),IF(ISBLANK(G603),"Kỹ sư/Thầu phụ cần bóc tách KL bản vẽ",IF(H603&gt;=0,"Được đặt hàng tối đa "&amp;G603&amp;" "&amp;E603,"Vượt dự toán "&amp;ABS(H603)&amp;" "&amp;E603&amp;" (QS giải trình &amp; duyệt sửa BOQ)")),"")</f>
        <v/>
      </c>
    </row>
    <row r="604" ht="28.8" customHeight="1" s="75">
      <c r="A604" s="58" t="inlineStr">
        <is>
          <t>DHKK-C-II.3.6.0</t>
        </is>
      </c>
      <c r="B604" s="24" t="n"/>
      <c r="C604" s="98" t="inlineStr">
        <is>
          <t>Bọc bảo vệ ống gió EI ngoài trời bằng tole mạ kẽm dày 0.58mm</t>
        </is>
      </c>
      <c r="D604" s="61" t="inlineStr">
        <is>
          <t>m2</t>
        </is>
      </c>
      <c r="E604" s="61" t="inlineStr">
        <is>
          <t>m2</t>
        </is>
      </c>
      <c r="F604" s="88" t="n">
        <v>60</v>
      </c>
      <c r="G604" s="85" t="n"/>
      <c r="H604" s="42">
        <f>IF(OR(ISNUMBER(F604),ISNUMBER(G604)),N(F604)-N(G604),"")</f>
        <v/>
      </c>
      <c r="I604" s="137" t="n"/>
      <c r="J604" s="117">
        <f>IF(OR(ISNUMBER(F604),ISNUMBER(G604)),IF(ISBLANK(G604),"⚠️ Chưa bóc tách định mức",IF(H604&gt;=0,"✅ OK - Cho phép đặt hàng","❌ CHẶN ĐẶT HÀNG - CẦN BẢO VỆ KL")),"")</f>
        <v/>
      </c>
      <c r="K604" s="138">
        <f>IF(OR(ISNUMBER(F604),ISNUMBER(G604)),IF(ISBLANK(G604),"Kỹ sư/Thầu phụ cần bóc tách KL bản vẽ",IF(H604&gt;=0,"Được đặt hàng tối đa "&amp;G604&amp;" "&amp;E604,"Vượt dự toán "&amp;ABS(H604)&amp;" "&amp;E604&amp;" (QS giải trình &amp; duyệt sửa BOQ)")),"")</f>
        <v/>
      </c>
    </row>
    <row r="605" ht="13.8" customHeight="1" s="75">
      <c r="A605" s="80" t="n"/>
      <c r="B605" s="24" t="n"/>
      <c r="C605" s="101" t="n"/>
      <c r="D605" s="24" t="n"/>
      <c r="E605" s="24" t="n"/>
      <c r="F605" s="85" t="n"/>
      <c r="G605" s="85" t="n"/>
      <c r="H605" s="44" t="n"/>
      <c r="I605" s="137" t="n"/>
    </row>
    <row r="606" ht="15.6" customHeight="1" s="75">
      <c r="A606" s="58" t="inlineStr">
        <is>
          <t>DHKK-C-II.4.0</t>
        </is>
      </c>
      <c r="B606" s="37" t="n">
        <v>4</v>
      </c>
      <c r="C606" s="98" t="inlineStr">
        <is>
          <t>Phần điều khiển</t>
        </is>
      </c>
      <c r="D606" s="24" t="n"/>
      <c r="E606" s="24" t="n"/>
      <c r="F606" s="85" t="n"/>
      <c r="G606" s="85" t="n"/>
      <c r="H606" s="44" t="n"/>
      <c r="I606" s="137" t="n"/>
    </row>
    <row r="607" ht="15.6" customHeight="1" s="75">
      <c r="A607" s="58" t="inlineStr">
        <is>
          <t>DHKK-C-II.4.1</t>
        </is>
      </c>
      <c r="B607" s="24" t="n"/>
      <c r="C607" s="99" t="inlineStr">
        <is>
          <t>1Cx2.5 mm2 CV-FR</t>
        </is>
      </c>
      <c r="D607" s="61" t="inlineStr">
        <is>
          <t>m</t>
        </is>
      </c>
      <c r="E607" s="61" t="inlineStr">
        <is>
          <t>m</t>
        </is>
      </c>
      <c r="F607" s="88" t="n">
        <v>6680</v>
      </c>
      <c r="G607" s="88" t="n">
        <v>6673</v>
      </c>
      <c r="H607" s="42">
        <f>IF(OR(ISNUMBER(F607),ISNUMBER(G607)),N(F607)-N(G607),"")</f>
        <v/>
      </c>
      <c r="I607" s="137" t="n"/>
      <c r="J607" s="117">
        <f>IF(OR(ISNUMBER(F607),ISNUMBER(G607)),IF(ISBLANK(G607),"⚠️ Chưa bóc tách định mức",IF(H607&gt;=0,"✅ OK - Cho phép đặt hàng","❌ CHẶN ĐẶT HÀNG - CẦN BẢO VỆ KL")),"")</f>
        <v/>
      </c>
      <c r="K607" s="138">
        <f>IF(OR(ISNUMBER(F607),ISNUMBER(G607)),IF(ISBLANK(G607),"Kỹ sư/Thầu phụ cần bóc tách KL bản vẽ",IF(H607&gt;=0,"Được đặt hàng tối đa "&amp;G607&amp;" "&amp;E607,"Vượt dự toán "&amp;ABS(H607)&amp;" "&amp;E607&amp;" (QS giải trình &amp; duyệt sửa BOQ)")),"")</f>
        <v/>
      </c>
    </row>
    <row r="608" ht="15.6" customHeight="1" s="75">
      <c r="A608" s="58" t="inlineStr">
        <is>
          <t>DHKK-C-II.4.2</t>
        </is>
      </c>
      <c r="B608" s="24" t="n"/>
      <c r="C608" s="99" t="inlineStr">
        <is>
          <t>4C-1.5mm² Cu/PVC/FR</t>
        </is>
      </c>
      <c r="D608" s="61" t="inlineStr">
        <is>
          <t>m</t>
        </is>
      </c>
      <c r="E608" s="61" t="inlineStr">
        <is>
          <t>m</t>
        </is>
      </c>
      <c r="F608" s="88" t="n">
        <v>6274</v>
      </c>
      <c r="G608" s="88" t="n">
        <v>6260</v>
      </c>
      <c r="H608" s="42">
        <f>IF(OR(ISNUMBER(F608),ISNUMBER(G608)),N(F608)-N(G608),"")</f>
        <v/>
      </c>
      <c r="I608" s="137" t="n"/>
      <c r="J608" s="117">
        <f>IF(OR(ISNUMBER(F608),ISNUMBER(G608)),IF(ISBLANK(G608),"⚠️ Chưa bóc tách định mức",IF(H608&gt;=0,"✅ OK - Cho phép đặt hàng","❌ CHẶN ĐẶT HÀNG - CẦN BẢO VỆ KL")),"")</f>
        <v/>
      </c>
      <c r="K608" s="138">
        <f>IF(OR(ISNUMBER(F608),ISNUMBER(G608)),IF(ISBLANK(G608),"Kỹ sư/Thầu phụ cần bóc tách KL bản vẽ",IF(H608&gt;=0,"Được đặt hàng tối đa "&amp;G608&amp;" "&amp;E608,"Vượt dự toán "&amp;ABS(H608)&amp;" "&amp;E608&amp;" (QS giải trình &amp; duyệt sửa BOQ)")),"")</f>
        <v/>
      </c>
    </row>
    <row r="609" ht="15.6" customHeight="1" s="75">
      <c r="A609" s="58" t="inlineStr">
        <is>
          <t>DHKK-C-II.4.3</t>
        </is>
      </c>
      <c r="B609" s="24" t="n"/>
      <c r="C609" s="99" t="inlineStr">
        <is>
          <t>2C-1.5mm² Cu/PVC/FR</t>
        </is>
      </c>
      <c r="D609" s="61" t="inlineStr">
        <is>
          <t>m</t>
        </is>
      </c>
      <c r="E609" s="61" t="inlineStr">
        <is>
          <t>m</t>
        </is>
      </c>
      <c r="F609" s="88" t="n">
        <v>1939</v>
      </c>
      <c r="G609" s="88" t="n">
        <v>1387</v>
      </c>
      <c r="H609" s="42">
        <f>IF(OR(ISNUMBER(F609),ISNUMBER(G609)),N(F609)-N(G609),"")</f>
        <v/>
      </c>
      <c r="I609" s="137" t="n"/>
      <c r="J609" s="117">
        <f>IF(OR(ISNUMBER(F609),ISNUMBER(G609)),IF(ISBLANK(G609),"⚠️ Chưa bóc tách định mức",IF(H609&gt;=0,"✅ OK - Cho phép đặt hàng","❌ CHẶN ĐẶT HÀNG - CẦN BẢO VỆ KL")),"")</f>
        <v/>
      </c>
      <c r="K609" s="138">
        <f>IF(OR(ISNUMBER(F609),ISNUMBER(G609)),IF(ISBLANK(G609),"Kỹ sư/Thầu phụ cần bóc tách KL bản vẽ",IF(H609&gt;=0,"Được đặt hàng tối đa "&amp;G609&amp;" "&amp;E609,"Vượt dự toán "&amp;ABS(H609)&amp;" "&amp;E609&amp;" (QS giải trình &amp; duyệt sửa BOQ)")),"")</f>
        <v/>
      </c>
    </row>
    <row r="610" ht="15.6" customHeight="1" s="75">
      <c r="A610" s="58" t="inlineStr">
        <is>
          <t>DHKK-C-II.4.6</t>
        </is>
      </c>
      <c r="B610" s="24" t="n"/>
      <c r="C610" s="99" t="inlineStr">
        <is>
          <t>Tủ trung gian cho MFD</t>
        </is>
      </c>
      <c r="D610" s="61" t="inlineStr">
        <is>
          <t>Bộ</t>
        </is>
      </c>
      <c r="E610" s="61" t="inlineStr">
        <is>
          <t>Bộ</t>
        </is>
      </c>
      <c r="F610" s="88" t="n">
        <v>60</v>
      </c>
      <c r="G610" s="88" t="n">
        <v>52</v>
      </c>
      <c r="H610" s="42">
        <f>IF(OR(ISNUMBER(F610),ISNUMBER(G610)),N(F610)-N(G610),"")</f>
        <v/>
      </c>
      <c r="I610" s="137" t="n"/>
      <c r="J610" s="117">
        <f>IF(OR(ISNUMBER(F610),ISNUMBER(G610)),IF(ISBLANK(G610),"⚠️ Chưa bóc tách định mức",IF(H610&gt;=0,"✅ OK - Cho phép đặt hàng","❌ CHẶN ĐẶT HÀNG - CẦN BẢO VỆ KL")),"")</f>
        <v/>
      </c>
      <c r="K610" s="138">
        <f>IF(OR(ISNUMBER(F610),ISNUMBER(G610)),IF(ISBLANK(G610),"Kỹ sư/Thầu phụ cần bóc tách KL bản vẽ",IF(H610&gt;=0,"Được đặt hàng tối đa "&amp;G610&amp;" "&amp;E610,"Vượt dự toán "&amp;ABS(H610)&amp;" "&amp;E610&amp;" (QS giải trình &amp; duyệt sửa BOQ)")),"")</f>
        <v/>
      </c>
    </row>
    <row r="611" ht="12.3" customHeight="1" s="75">
      <c r="A611" s="80" t="n"/>
      <c r="B611" s="24" t="n"/>
      <c r="C611" s="101" t="n"/>
      <c r="D611" s="24" t="n"/>
      <c r="E611" s="24" t="n"/>
      <c r="F611" s="85" t="n"/>
      <c r="G611" s="85" t="n"/>
      <c r="H611" s="25" t="n"/>
      <c r="I611" s="137" t="n"/>
    </row>
    <row r="612" ht="15.6" customHeight="1" s="75">
      <c r="A612" s="58" t="inlineStr">
        <is>
          <t>DHKK-C-III</t>
        </is>
      </c>
      <c r="B612" s="33" t="inlineStr">
        <is>
          <t>III</t>
        </is>
      </c>
      <c r="C612" s="97" t="inlineStr">
        <is>
          <t>HỆ THỐNG TẠO ÁP CẦU THANG</t>
        </is>
      </c>
      <c r="D612" s="34" t="n"/>
      <c r="E612" s="34" t="n"/>
      <c r="F612" s="87" t="n"/>
      <c r="G612" s="87" t="n"/>
      <c r="H612" s="35" t="n"/>
      <c r="I612" s="144" t="n"/>
    </row>
    <row r="613" ht="15.6" customHeight="1" s="75">
      <c r="A613" s="58" t="inlineStr">
        <is>
          <t>DHKK-C-III.1.0</t>
        </is>
      </c>
      <c r="B613" s="37" t="n">
        <v>1</v>
      </c>
      <c r="C613" s="98" t="inlineStr">
        <is>
          <t>Quạt thông gió</t>
        </is>
      </c>
      <c r="D613" s="24" t="n"/>
      <c r="E613" s="24" t="n"/>
      <c r="F613" s="85" t="n"/>
      <c r="G613" s="85" t="n"/>
      <c r="H613" s="44" t="n"/>
      <c r="I613" s="137" t="n"/>
    </row>
    <row r="614" ht="56.1" customHeight="1" s="75">
      <c r="A614" s="58" t="inlineStr">
        <is>
          <t>DHKK-C-III.1.1</t>
        </is>
      </c>
      <c r="B614" s="24" t="n"/>
      <c r="C614" s="99" t="inlineStr">
        <is>
          <t>Quạt cấp khí kiểu hướng trục nối ống gió PAF-A-R-01
 + Lưu lượng: 16400 l/s
 + Áp suất : 400 Pa</t>
        </is>
      </c>
      <c r="D614" s="61" t="inlineStr">
        <is>
          <t>Bộ</t>
        </is>
      </c>
      <c r="E614" s="61" t="inlineStr">
        <is>
          <t>Bộ</t>
        </is>
      </c>
      <c r="F614" s="88" t="n">
        <v>1</v>
      </c>
      <c r="G614" s="88" t="n">
        <v>1</v>
      </c>
      <c r="H614" s="44">
        <f>IF(OR(ISNUMBER(F614),ISNUMBER(G614)),N(F614)-N(G614),"")</f>
        <v/>
      </c>
      <c r="I614" s="137" t="n"/>
      <c r="J614" s="117">
        <f>IF(OR(ISNUMBER(F614),ISNUMBER(G614)),IF(ISBLANK(G614),"⚠️ Chưa bóc tách định mức",IF(H614&gt;=0,"✅ OK - Cho phép đặt hàng","❌ CHẶN ĐẶT HÀNG - CẦN BẢO VỆ KL")),"")</f>
        <v/>
      </c>
      <c r="K614" s="138">
        <f>IF(OR(ISNUMBER(F614),ISNUMBER(G614)),IF(ISBLANK(G614),"Kỹ sư/Thầu phụ cần bóc tách KL bản vẽ",IF(H614&gt;=0,"Được đặt hàng tối đa "&amp;G614&amp;" "&amp;E614,"Vượt dự toán "&amp;ABS(H614)&amp;" "&amp;E614&amp;" (QS giải trình &amp; duyệt sửa BOQ)")),"")</f>
        <v/>
      </c>
    </row>
    <row r="615" ht="56.1" customHeight="1" s="75">
      <c r="A615" s="58" t="inlineStr">
        <is>
          <t>DHKK-C-III.1.2</t>
        </is>
      </c>
      <c r="B615" s="24" t="n"/>
      <c r="C615" s="99" t="inlineStr">
        <is>
          <t>Quạt cấp khí kiểu hướng trục nối ống gió PAF-A-R-02,06
 + Lưu lượng: 7470 l/s
 + Áp suất : 400 Pa</t>
        </is>
      </c>
      <c r="D615" s="61" t="inlineStr">
        <is>
          <t>Bộ</t>
        </is>
      </c>
      <c r="E615" s="61" t="inlineStr">
        <is>
          <t>Bộ</t>
        </is>
      </c>
      <c r="F615" s="88" t="n">
        <v>2</v>
      </c>
      <c r="G615" s="88" t="n">
        <v>2</v>
      </c>
      <c r="H615" s="44">
        <f>IF(OR(ISNUMBER(F615),ISNUMBER(G615)),N(F615)-N(G615),"")</f>
        <v/>
      </c>
      <c r="I615" s="137" t="n"/>
      <c r="J615" s="117">
        <f>IF(OR(ISNUMBER(F615),ISNUMBER(G615)),IF(ISBLANK(G615),"⚠️ Chưa bóc tách định mức",IF(H615&gt;=0,"✅ OK - Cho phép đặt hàng","❌ CHẶN ĐẶT HÀNG - CẦN BẢO VỆ KL")),"")</f>
        <v/>
      </c>
      <c r="K615" s="138">
        <f>IF(OR(ISNUMBER(F615),ISNUMBER(G615)),IF(ISBLANK(G615),"Kỹ sư/Thầu phụ cần bóc tách KL bản vẽ",IF(H615&gt;=0,"Được đặt hàng tối đa "&amp;G615&amp;" "&amp;E615,"Vượt dự toán "&amp;ABS(H615)&amp;" "&amp;E615&amp;" (QS giải trình &amp; duyệt sửa BOQ)")),"")</f>
        <v/>
      </c>
    </row>
    <row r="616" ht="56.1" customHeight="1" s="75">
      <c r="A616" s="58" t="inlineStr">
        <is>
          <t>DHKK-C-III.1.3</t>
        </is>
      </c>
      <c r="B616" s="24" t="n"/>
      <c r="C616" s="99" t="inlineStr">
        <is>
          <t>Quạt cấp khí kiểu hướng trục nối ống gió PAF-A-R-03,07
 + Lưu lượng: 4560 l/s
 + Áp suất : 400 Pa</t>
        </is>
      </c>
      <c r="D616" s="61" t="inlineStr">
        <is>
          <t>Bộ</t>
        </is>
      </c>
      <c r="E616" s="61" t="inlineStr">
        <is>
          <t>Bộ</t>
        </is>
      </c>
      <c r="F616" s="88" t="n">
        <v>2</v>
      </c>
      <c r="G616" s="88" t="n">
        <v>2</v>
      </c>
      <c r="H616" s="44">
        <f>IF(OR(ISNUMBER(F616),ISNUMBER(G616)),N(F616)-N(G616),"")</f>
        <v/>
      </c>
      <c r="I616" s="137" t="n"/>
      <c r="J616" s="117">
        <f>IF(OR(ISNUMBER(F616),ISNUMBER(G616)),IF(ISBLANK(G616),"⚠️ Chưa bóc tách định mức",IF(H616&gt;=0,"✅ OK - Cho phép đặt hàng","❌ CHẶN ĐẶT HÀNG - CẦN BẢO VỆ KL")),"")</f>
        <v/>
      </c>
      <c r="K616" s="138">
        <f>IF(OR(ISNUMBER(F616),ISNUMBER(G616)),IF(ISBLANK(G616),"Kỹ sư/Thầu phụ cần bóc tách KL bản vẽ",IF(H616&gt;=0,"Được đặt hàng tối đa "&amp;G616&amp;" "&amp;E616,"Vượt dự toán "&amp;ABS(H616)&amp;" "&amp;E616&amp;" (QS giải trình &amp; duyệt sửa BOQ)")),"")</f>
        <v/>
      </c>
    </row>
    <row r="617" ht="56.1" customHeight="1" s="75">
      <c r="A617" s="58" t="inlineStr">
        <is>
          <t>DHKK-C-III.1.4</t>
        </is>
      </c>
      <c r="B617" s="24" t="n"/>
      <c r="C617" s="99" t="inlineStr">
        <is>
          <t>Quạt cấp khí kiểu hướng trục nối ống gió PAF-A-R-04,08
 + Lưu lượng: 3990 l/s
 + Áp suất : 400 Pa</t>
        </is>
      </c>
      <c r="D617" s="61" t="inlineStr">
        <is>
          <t>Bộ</t>
        </is>
      </c>
      <c r="E617" s="61" t="inlineStr">
        <is>
          <t>Bộ</t>
        </is>
      </c>
      <c r="F617" s="88" t="n">
        <v>1</v>
      </c>
      <c r="G617" s="88" t="n">
        <v>1</v>
      </c>
      <c r="H617" s="44">
        <f>IF(OR(ISNUMBER(F617),ISNUMBER(G617)),N(F617)-N(G617),"")</f>
        <v/>
      </c>
      <c r="I617" s="137" t="n"/>
      <c r="J617" s="117">
        <f>IF(OR(ISNUMBER(F617),ISNUMBER(G617)),IF(ISBLANK(G617),"⚠️ Chưa bóc tách định mức",IF(H617&gt;=0,"✅ OK - Cho phép đặt hàng","❌ CHẶN ĐẶT HÀNG - CẦN BẢO VỆ KL")),"")</f>
        <v/>
      </c>
      <c r="K617" s="138">
        <f>IF(OR(ISNUMBER(F617),ISNUMBER(G617)),IF(ISBLANK(G617),"Kỹ sư/Thầu phụ cần bóc tách KL bản vẽ",IF(H617&gt;=0,"Được đặt hàng tối đa "&amp;G617&amp;" "&amp;E617,"Vượt dự toán "&amp;ABS(H617)&amp;" "&amp;E617&amp;" (QS giải trình &amp; duyệt sửa BOQ)")),"")</f>
        <v/>
      </c>
    </row>
    <row r="618" ht="56.1" customHeight="1" s="75">
      <c r="A618" s="58" t="inlineStr">
        <is>
          <t>DHKK-C-III.1.5</t>
        </is>
      </c>
      <c r="B618" s="24" t="n"/>
      <c r="C618" s="99" t="inlineStr">
        <is>
          <t>Quạt cấp khí kiểu hướng trục nối ống gió PAF-A-R-05
 + Lưu lượng: 20500 l/s
 + Áp suất : 400 Pa</t>
        </is>
      </c>
      <c r="D618" s="61" t="inlineStr">
        <is>
          <t>Bộ</t>
        </is>
      </c>
      <c r="E618" s="61" t="inlineStr">
        <is>
          <t>Bộ</t>
        </is>
      </c>
      <c r="F618" s="88" t="n">
        <v>1</v>
      </c>
      <c r="G618" s="88" t="n">
        <v>1</v>
      </c>
      <c r="H618" s="44">
        <f>IF(OR(ISNUMBER(F618),ISNUMBER(G618)),N(F618)-N(G618),"")</f>
        <v/>
      </c>
      <c r="I618" s="137" t="n"/>
      <c r="J618" s="117">
        <f>IF(OR(ISNUMBER(F618),ISNUMBER(G618)),IF(ISBLANK(G618),"⚠️ Chưa bóc tách định mức",IF(H618&gt;=0,"✅ OK - Cho phép đặt hàng","❌ CHẶN ĐẶT HÀNG - CẦN BẢO VỆ KL")),"")</f>
        <v/>
      </c>
      <c r="K618" s="138">
        <f>IF(OR(ISNUMBER(F618),ISNUMBER(G618)),IF(ISBLANK(G618),"Kỹ sư/Thầu phụ cần bóc tách KL bản vẽ",IF(H618&gt;=0,"Được đặt hàng tối đa "&amp;G618&amp;" "&amp;E618,"Vượt dự toán "&amp;ABS(H618)&amp;" "&amp;E618&amp;" (QS giải trình &amp; duyệt sửa BOQ)")),"")</f>
        <v/>
      </c>
    </row>
    <row r="619" ht="56.1" customHeight="1" s="75">
      <c r="A619" s="58" t="inlineStr">
        <is>
          <t>DHKK-C-III.1.6</t>
        </is>
      </c>
      <c r="B619" s="24" t="n"/>
      <c r="C619" s="99" t="inlineStr">
        <is>
          <t>Quạt cấp khí kiểu hướng trục nối ống gió PAF-A-R-09
 + Lưu lượng: 7410 l/s
 + Áp suất : 400 Pa</t>
        </is>
      </c>
      <c r="D619" s="61" t="inlineStr">
        <is>
          <t>Bộ</t>
        </is>
      </c>
      <c r="E619" s="61" t="inlineStr">
        <is>
          <t>Bộ</t>
        </is>
      </c>
      <c r="F619" s="88" t="n">
        <v>1</v>
      </c>
      <c r="G619" s="88" t="n">
        <v>1</v>
      </c>
      <c r="H619" s="44">
        <f>IF(OR(ISNUMBER(F619),ISNUMBER(G619)),N(F619)-N(G619),"")</f>
        <v/>
      </c>
      <c r="I619" s="137" t="n"/>
      <c r="J619" s="117">
        <f>IF(OR(ISNUMBER(F619),ISNUMBER(G619)),IF(ISBLANK(G619),"⚠️ Chưa bóc tách định mức",IF(H619&gt;=0,"✅ OK - Cho phép đặt hàng","❌ CHẶN ĐẶT HÀNG - CẦN BẢO VỆ KL")),"")</f>
        <v/>
      </c>
      <c r="K619" s="138">
        <f>IF(OR(ISNUMBER(F619),ISNUMBER(G619)),IF(ISBLANK(G619),"Kỹ sư/Thầu phụ cần bóc tách KL bản vẽ",IF(H619&gt;=0,"Được đặt hàng tối đa "&amp;G619&amp;" "&amp;E619,"Vượt dự toán "&amp;ABS(H619)&amp;" "&amp;E619&amp;" (QS giải trình &amp; duyệt sửa BOQ)")),"")</f>
        <v/>
      </c>
    </row>
    <row r="620" ht="56.1" customHeight="1" s="75">
      <c r="A620" s="58" t="inlineStr">
        <is>
          <t>DHKK-C-III.1.7</t>
        </is>
      </c>
      <c r="B620" s="24" t="n"/>
      <c r="C620" s="99" t="inlineStr">
        <is>
          <t>Quạt cấp khí kiểu hướng trục nối ống gió PAF-B-R-01
 + Lưu lượng: 16400 l/s
 + Áp suất : 450 Pa</t>
        </is>
      </c>
      <c r="D620" s="61" t="inlineStr">
        <is>
          <t>Bộ</t>
        </is>
      </c>
      <c r="E620" s="61" t="inlineStr">
        <is>
          <t>Bộ</t>
        </is>
      </c>
      <c r="F620" s="88" t="n">
        <v>0</v>
      </c>
      <c r="G620" s="85" t="n"/>
      <c r="H620" s="44">
        <f>IF(OR(ISNUMBER(F620),ISNUMBER(G620)),N(F620)-N(G620),"")</f>
        <v/>
      </c>
      <c r="I620" s="137" t="n"/>
      <c r="J620" s="117">
        <f>IF(OR(ISNUMBER(F620),ISNUMBER(G620)),IF(ISBLANK(G620),"⚠️ Chưa bóc tách định mức",IF(H620&gt;=0,"✅ OK - Cho phép đặt hàng","❌ CHẶN ĐẶT HÀNG - CẦN BẢO VỆ KL")),"")</f>
        <v/>
      </c>
      <c r="K620" s="138">
        <f>IF(OR(ISNUMBER(F620),ISNUMBER(G620)),IF(ISBLANK(G620),"Kỹ sư/Thầu phụ cần bóc tách KL bản vẽ",IF(H620&gt;=0,"Được đặt hàng tối đa "&amp;G620&amp;" "&amp;E620,"Vượt dự toán "&amp;ABS(H620)&amp;" "&amp;E620&amp;" (QS giải trình &amp; duyệt sửa BOQ)")),"")</f>
        <v/>
      </c>
    </row>
    <row r="621" ht="56.1" customHeight="1" s="75">
      <c r="A621" s="58" t="inlineStr">
        <is>
          <t>DHKK-C-III.1.8</t>
        </is>
      </c>
      <c r="B621" s="24" t="n"/>
      <c r="C621" s="99" t="inlineStr">
        <is>
          <t>Quạt cấp khí kiểu hướng trục nối ống gió PAF-B-R-04
 + Lưu lượng: 7470 l/s
 + Áp suất : 450 Pa</t>
        </is>
      </c>
      <c r="D621" s="61" t="inlineStr">
        <is>
          <t>Bộ</t>
        </is>
      </c>
      <c r="E621" s="61" t="inlineStr">
        <is>
          <t>Bộ</t>
        </is>
      </c>
      <c r="F621" s="88" t="n">
        <v>0</v>
      </c>
      <c r="G621" s="85" t="n"/>
      <c r="H621" s="44">
        <f>IF(OR(ISNUMBER(F621),ISNUMBER(G621)),N(F621)-N(G621),"")</f>
        <v/>
      </c>
      <c r="I621" s="137" t="n"/>
      <c r="J621" s="117">
        <f>IF(OR(ISNUMBER(F621),ISNUMBER(G621)),IF(ISBLANK(G621),"⚠️ Chưa bóc tách định mức",IF(H621&gt;=0,"✅ OK - Cho phép đặt hàng","❌ CHẶN ĐẶT HÀNG - CẦN BẢO VỆ KL")),"")</f>
        <v/>
      </c>
      <c r="K621" s="138">
        <f>IF(OR(ISNUMBER(F621),ISNUMBER(G621)),IF(ISBLANK(G621),"Kỹ sư/Thầu phụ cần bóc tách KL bản vẽ",IF(H621&gt;=0,"Được đặt hàng tối đa "&amp;G621&amp;" "&amp;E621,"Vượt dự toán "&amp;ABS(H621)&amp;" "&amp;E621&amp;" (QS giải trình &amp; duyệt sửa BOQ)")),"")</f>
        <v/>
      </c>
    </row>
    <row r="622" ht="56.1" customHeight="1" s="75">
      <c r="A622" s="58" t="inlineStr">
        <is>
          <t>DHKK-C-III.1.19</t>
        </is>
      </c>
      <c r="B622" s="24" t="n"/>
      <c r="C622" s="99" t="inlineStr">
        <is>
          <t>Quạt cấp khí kiểu hướng trục nối ống gió PAF-B-R-05
 + Lưu lượng: 4560 l/s
 + Áp suất : 600 Pa</t>
        </is>
      </c>
      <c r="D622" s="61" t="inlineStr">
        <is>
          <t>Bộ</t>
        </is>
      </c>
      <c r="E622" s="61" t="inlineStr">
        <is>
          <t>Bộ</t>
        </is>
      </c>
      <c r="F622" s="88" t="n">
        <v>0</v>
      </c>
      <c r="G622" s="85" t="n"/>
      <c r="H622" s="44">
        <f>IF(OR(ISNUMBER(F622),ISNUMBER(G622)),N(F622)-N(G622),"")</f>
        <v/>
      </c>
      <c r="I622" s="137" t="n"/>
      <c r="J622" s="117">
        <f>IF(OR(ISNUMBER(F622),ISNUMBER(G622)),IF(ISBLANK(G622),"⚠️ Chưa bóc tách định mức",IF(H622&gt;=0,"✅ OK - Cho phép đặt hàng","❌ CHẶN ĐẶT HÀNG - CẦN BẢO VỆ KL")),"")</f>
        <v/>
      </c>
      <c r="K622" s="138">
        <f>IF(OR(ISNUMBER(F622),ISNUMBER(G622)),IF(ISBLANK(G622),"Kỹ sư/Thầu phụ cần bóc tách KL bản vẽ",IF(H622&gt;=0,"Được đặt hàng tối đa "&amp;G622&amp;" "&amp;E622,"Vượt dự toán "&amp;ABS(H622)&amp;" "&amp;E622&amp;" (QS giải trình &amp; duyệt sửa BOQ)")),"")</f>
        <v/>
      </c>
    </row>
    <row r="623" ht="56.1" customHeight="1" s="75">
      <c r="A623" s="58" t="inlineStr">
        <is>
          <t>DHKK-C-III.1.10</t>
        </is>
      </c>
      <c r="B623" s="24" t="n"/>
      <c r="C623" s="99" t="inlineStr">
        <is>
          <t>Quạt cấp khí kiểu hướng trục nối ống gió PAF-B-R-03
 + Lưu lượng: 20500 l/s
 + Áp suất : 450 Pa</t>
        </is>
      </c>
      <c r="D623" s="61" t="inlineStr">
        <is>
          <t>Bộ</t>
        </is>
      </c>
      <c r="E623" s="61" t="inlineStr">
        <is>
          <t>Bộ</t>
        </is>
      </c>
      <c r="F623" s="88" t="n">
        <v>0</v>
      </c>
      <c r="G623" s="85" t="n"/>
      <c r="H623" s="44">
        <f>IF(OR(ISNUMBER(F623),ISNUMBER(G623)),N(F623)-N(G623),"")</f>
        <v/>
      </c>
      <c r="I623" s="137" t="n"/>
      <c r="J623" s="117">
        <f>IF(OR(ISNUMBER(F623),ISNUMBER(G623)),IF(ISBLANK(G623),"⚠️ Chưa bóc tách định mức",IF(H623&gt;=0,"✅ OK - Cho phép đặt hàng","❌ CHẶN ĐẶT HÀNG - CẦN BẢO VỆ KL")),"")</f>
        <v/>
      </c>
      <c r="K623" s="138">
        <f>IF(OR(ISNUMBER(F623),ISNUMBER(G623)),IF(ISBLANK(G623),"Kỹ sư/Thầu phụ cần bóc tách KL bản vẽ",IF(H623&gt;=0,"Được đặt hàng tối đa "&amp;G623&amp;" "&amp;E623,"Vượt dự toán "&amp;ABS(H623)&amp;" "&amp;E623&amp;" (QS giải trình &amp; duyệt sửa BOQ)")),"")</f>
        <v/>
      </c>
    </row>
    <row r="624" ht="56.1" customHeight="1" s="75">
      <c r="A624" s="58" t="inlineStr">
        <is>
          <t>DHKK-C-III.1.11</t>
        </is>
      </c>
      <c r="B624" s="24" t="n"/>
      <c r="C624" s="99" t="inlineStr">
        <is>
          <t>Quạt cấp khí kiểu hướng trục nối ống gió PAF-B-R-02,06
 + Lưu lượng: 7410 l/s
 + Áp suất : 450 Pa</t>
        </is>
      </c>
      <c r="D624" s="61" t="inlineStr">
        <is>
          <t>Bộ</t>
        </is>
      </c>
      <c r="E624" s="61" t="inlineStr">
        <is>
          <t>Bộ</t>
        </is>
      </c>
      <c r="F624" s="88" t="n">
        <v>0</v>
      </c>
      <c r="G624" s="85" t="n"/>
      <c r="H624" s="44">
        <f>IF(OR(ISNUMBER(F624),ISNUMBER(G624)),N(F624)-N(G624),"")</f>
        <v/>
      </c>
      <c r="I624" s="150" t="n"/>
      <c r="J624" s="117">
        <f>IF(OR(ISNUMBER(F624),ISNUMBER(G624)),IF(ISBLANK(G624),"⚠️ Chưa bóc tách định mức",IF(H624&gt;=0,"✅ OK - Cho phép đặt hàng","❌ CHẶN ĐẶT HÀNG - CẦN BẢO VỆ KL")),"")</f>
        <v/>
      </c>
      <c r="K624" s="138">
        <f>IF(OR(ISNUMBER(F624),ISNUMBER(G624)),IF(ISBLANK(G624),"Kỹ sư/Thầu phụ cần bóc tách KL bản vẽ",IF(H624&gt;=0,"Được đặt hàng tối đa "&amp;G624&amp;" "&amp;E624,"Vượt dự toán "&amp;ABS(H624)&amp;" "&amp;E624&amp;" (QS giải trình &amp; duyệt sửa BOQ)")),"")</f>
        <v/>
      </c>
    </row>
    <row r="625" ht="15.6" customHeight="1" s="75">
      <c r="A625" s="58" t="inlineStr">
        <is>
          <t>DHKK-C-III.1.12</t>
        </is>
      </c>
      <c r="B625" s="24" t="n"/>
      <c r="C625" s="99" t="inlineStr">
        <is>
          <t>Nối mềm cho quạt</t>
        </is>
      </c>
      <c r="D625" s="61" t="inlineStr">
        <is>
          <t>Bộ</t>
        </is>
      </c>
      <c r="E625" s="61" t="inlineStr">
        <is>
          <t>Bộ</t>
        </is>
      </c>
      <c r="F625" s="88" t="n">
        <v>8</v>
      </c>
      <c r="G625" s="88" t="n">
        <v>8</v>
      </c>
      <c r="H625" s="44">
        <f>IF(OR(ISNUMBER(F625),ISNUMBER(G625)),N(F625)-N(G625),"")</f>
        <v/>
      </c>
      <c r="I625" s="142" t="inlineStr">
        <is>
          <t>1 bộ gồm 2 cái</t>
        </is>
      </c>
      <c r="J625" s="117">
        <f>IF(OR(ISNUMBER(F625),ISNUMBER(G625)),IF(ISBLANK(G625),"⚠️ Chưa bóc tách định mức",IF(H625&gt;=0,"✅ OK - Cho phép đặt hàng","❌ CHẶN ĐẶT HÀNG - CẦN BẢO VỆ KL")),"")</f>
        <v/>
      </c>
      <c r="K625" s="138">
        <f>IF(OR(ISNUMBER(F625),ISNUMBER(G625)),IF(ISBLANK(G625),"Kỹ sư/Thầu phụ cần bóc tách KL bản vẽ",IF(H625&gt;=0,"Được đặt hàng tối đa "&amp;G625&amp;" "&amp;E625,"Vượt dự toán "&amp;ABS(H625)&amp;" "&amp;E625&amp;" (QS giải trình &amp; duyệt sửa BOQ)")),"")</f>
        <v/>
      </c>
    </row>
    <row r="626" ht="13.8" customHeight="1" s="75">
      <c r="A626" s="80" t="n"/>
      <c r="B626" s="24" t="n"/>
      <c r="C626" s="101" t="n"/>
      <c r="D626" s="24" t="n"/>
      <c r="E626" s="24" t="n"/>
      <c r="F626" s="85" t="n"/>
      <c r="G626" s="85" t="n"/>
      <c r="H626" s="44" t="n"/>
      <c r="I626" s="137" t="n"/>
    </row>
    <row r="627" ht="15.6" customHeight="1" s="75">
      <c r="A627" s="58" t="inlineStr">
        <is>
          <t>DHKK-C-III.2.0</t>
        </is>
      </c>
      <c r="B627" s="37" t="n">
        <v>2</v>
      </c>
      <c r="C627" s="98" t="inlineStr">
        <is>
          <t>Miệng gió, van gió</t>
        </is>
      </c>
      <c r="D627" s="24" t="n"/>
      <c r="E627" s="24" t="n"/>
      <c r="F627" s="85" t="n"/>
      <c r="G627" s="85" t="n"/>
      <c r="H627" s="44" t="n"/>
      <c r="I627" s="137" t="n"/>
    </row>
    <row r="628" ht="15.6" customHeight="1" s="75">
      <c r="A628" s="58" t="inlineStr">
        <is>
          <t>DHKK-C-III.2.1</t>
        </is>
      </c>
      <c r="B628" s="24" t="n"/>
      <c r="C628" s="98" t="inlineStr">
        <is>
          <t>FAL 1500x2300+I.S</t>
        </is>
      </c>
      <c r="D628" s="61" t="inlineStr">
        <is>
          <t>Cái</t>
        </is>
      </c>
      <c r="E628" s="61" t="inlineStr">
        <is>
          <t>Cái</t>
        </is>
      </c>
      <c r="F628" s="88" t="n">
        <v>1</v>
      </c>
      <c r="G628" s="85" t="n"/>
      <c r="H628" s="42">
        <f>IF(OR(ISNUMBER(F628),ISNUMBER(G628)),N(F628)-N(G628),"")</f>
        <v/>
      </c>
      <c r="I628" s="142" t="inlineStr">
        <is>
          <t>Louver nan Z kèm LCCT</t>
        </is>
      </c>
      <c r="J628" s="117">
        <f>IF(OR(ISNUMBER(F628),ISNUMBER(G628)),IF(ISBLANK(G628),"⚠️ Chưa bóc tách định mức",IF(H628&gt;=0,"✅ OK - Cho phép đặt hàng","❌ CHẶN ĐẶT HÀNG - CẦN BẢO VỆ KL")),"")</f>
        <v/>
      </c>
      <c r="K628" s="138">
        <f>IF(OR(ISNUMBER(F628),ISNUMBER(G628)),IF(ISBLANK(G628),"Kỹ sư/Thầu phụ cần bóc tách KL bản vẽ",IF(H628&gt;=0,"Được đặt hàng tối đa "&amp;G628&amp;" "&amp;E628,"Vượt dự toán "&amp;ABS(H628)&amp;" "&amp;E628&amp;" (QS giải trình &amp; duyệt sửa BOQ)")),"")</f>
        <v/>
      </c>
    </row>
    <row r="629" ht="15.6" customHeight="1" s="75">
      <c r="A629" s="58" t="inlineStr">
        <is>
          <t>DHKK-C-III.2.2</t>
        </is>
      </c>
      <c r="B629" s="24" t="n"/>
      <c r="C629" s="98" t="inlineStr">
        <is>
          <t>FAL 2300x1500+I.S</t>
        </is>
      </c>
      <c r="D629" s="61" t="inlineStr">
        <is>
          <t>Cái</t>
        </is>
      </c>
      <c r="E629" s="61" t="inlineStr">
        <is>
          <t>Cái</t>
        </is>
      </c>
      <c r="F629" s="88" t="n">
        <v>2</v>
      </c>
      <c r="G629" s="85" t="n"/>
      <c r="H629" s="42">
        <f>IF(OR(ISNUMBER(F629),ISNUMBER(G629)),N(F629)-N(G629),"")</f>
        <v/>
      </c>
      <c r="I629" s="142" t="inlineStr">
        <is>
          <t>Louver nan Z kèm LCCT</t>
        </is>
      </c>
      <c r="J629" s="117">
        <f>IF(OR(ISNUMBER(F629),ISNUMBER(G629)),IF(ISBLANK(G629),"⚠️ Chưa bóc tách định mức",IF(H629&gt;=0,"✅ OK - Cho phép đặt hàng","❌ CHẶN ĐẶT HÀNG - CẦN BẢO VỆ KL")),"")</f>
        <v/>
      </c>
      <c r="K629" s="138">
        <f>IF(OR(ISNUMBER(F629),ISNUMBER(G629)),IF(ISBLANK(G629),"Kỹ sư/Thầu phụ cần bóc tách KL bản vẽ",IF(H629&gt;=0,"Được đặt hàng tối đa "&amp;G629&amp;" "&amp;E629,"Vượt dự toán "&amp;ABS(H629)&amp;" "&amp;E629&amp;" (QS giải trình &amp; duyệt sửa BOQ)")),"")</f>
        <v/>
      </c>
    </row>
    <row r="630" ht="15.6" customHeight="1" s="75">
      <c r="A630" s="58" t="inlineStr">
        <is>
          <t>DHKK-C-III.2.3</t>
        </is>
      </c>
      <c r="B630" s="24" t="n"/>
      <c r="C630" s="98" t="inlineStr">
        <is>
          <t>FAG 300x300+OBD</t>
        </is>
      </c>
      <c r="D630" s="61" t="inlineStr">
        <is>
          <t>Cái</t>
        </is>
      </c>
      <c r="E630" s="61" t="inlineStr">
        <is>
          <t>Cái</t>
        </is>
      </c>
      <c r="F630" s="88" t="n">
        <v>60</v>
      </c>
      <c r="G630" s="88" t="n">
        <v>52</v>
      </c>
      <c r="H630" s="42">
        <f>IF(OR(ISNUMBER(F630),ISNUMBER(G630)),N(F630)-N(G630),"")</f>
        <v/>
      </c>
      <c r="I630" s="142" t="inlineStr">
        <is>
          <t>Miệng gió loại nan bầu dục 1 lớp nan kèm OBD</t>
        </is>
      </c>
      <c r="J630" s="117">
        <f>IF(OR(ISNUMBER(F630),ISNUMBER(G630)),IF(ISBLANK(G630),"⚠️ Chưa bóc tách định mức",IF(H630&gt;=0,"✅ OK - Cho phép đặt hàng","❌ CHẶN ĐẶT HÀNG - CẦN BẢO VỆ KL")),"")</f>
        <v/>
      </c>
      <c r="K630" s="138">
        <f>IF(OR(ISNUMBER(F630),ISNUMBER(G630)),IF(ISBLANK(G630),"Kỹ sư/Thầu phụ cần bóc tách KL bản vẽ",IF(H630&gt;=0,"Được đặt hàng tối đa "&amp;G630&amp;" "&amp;E630,"Vượt dự toán "&amp;ABS(H630)&amp;" "&amp;E630&amp;" (QS giải trình &amp; duyệt sửa BOQ)")),"")</f>
        <v/>
      </c>
    </row>
    <row r="631" ht="15.6" customHeight="1" s="75">
      <c r="A631" s="58" t="inlineStr">
        <is>
          <t>DHKK-C-III.2.4</t>
        </is>
      </c>
      <c r="B631" s="24" t="n"/>
      <c r="C631" s="98" t="inlineStr">
        <is>
          <t>FAG 300x800+OBD</t>
        </is>
      </c>
      <c r="D631" s="61" t="inlineStr">
        <is>
          <t>Cái</t>
        </is>
      </c>
      <c r="E631" s="61" t="inlineStr">
        <is>
          <t>Cái</t>
        </is>
      </c>
      <c r="F631" s="88" t="n">
        <v>0</v>
      </c>
      <c r="G631" s="85" t="n"/>
      <c r="H631" s="44">
        <f>IF(OR(ISNUMBER(F631),ISNUMBER(G631)),N(F631)-N(G631),"")</f>
        <v/>
      </c>
      <c r="I631" s="142" t="inlineStr">
        <is>
          <t>Miệng gió loại nan bầu dục 1 lớp nan kèm OBD</t>
        </is>
      </c>
      <c r="J631" s="117">
        <f>IF(OR(ISNUMBER(F631),ISNUMBER(G631)),IF(ISBLANK(G631),"⚠️ Chưa bóc tách định mức",IF(H631&gt;=0,"✅ OK - Cho phép đặt hàng","❌ CHẶN ĐẶT HÀNG - CẦN BẢO VỆ KL")),"")</f>
        <v/>
      </c>
      <c r="K631" s="138">
        <f>IF(OR(ISNUMBER(F631),ISNUMBER(G631)),IF(ISBLANK(G631),"Kỹ sư/Thầu phụ cần bóc tách KL bản vẽ",IF(H631&gt;=0,"Được đặt hàng tối đa "&amp;G631&amp;" "&amp;E631,"Vượt dự toán "&amp;ABS(H631)&amp;" "&amp;E631&amp;" (QS giải trình &amp; duyệt sửa BOQ)")),"")</f>
        <v/>
      </c>
    </row>
    <row r="632" ht="15.6" customHeight="1" s="75">
      <c r="A632" s="58" t="inlineStr">
        <is>
          <t>DHKK-C-III.2.5</t>
        </is>
      </c>
      <c r="B632" s="24" t="n"/>
      <c r="C632" s="98" t="inlineStr">
        <is>
          <t>FAG 500x500+OBD</t>
        </is>
      </c>
      <c r="D632" s="61" t="inlineStr">
        <is>
          <t>Cái</t>
        </is>
      </c>
      <c r="E632" s="61" t="inlineStr">
        <is>
          <t>Cái</t>
        </is>
      </c>
      <c r="F632" s="88" t="n">
        <v>60</v>
      </c>
      <c r="G632" s="88" t="n">
        <v>52</v>
      </c>
      <c r="H632" s="42">
        <f>IF(OR(ISNUMBER(F632),ISNUMBER(G632)),N(F632)-N(G632),"")</f>
        <v/>
      </c>
      <c r="I632" s="142" t="inlineStr">
        <is>
          <t>Miệng gió loại nan bầu dục 1 lớp nan kèm OBD</t>
        </is>
      </c>
      <c r="J632" s="117">
        <f>IF(OR(ISNUMBER(F632),ISNUMBER(G632)),IF(ISBLANK(G632),"⚠️ Chưa bóc tách định mức",IF(H632&gt;=0,"✅ OK - Cho phép đặt hàng","❌ CHẶN ĐẶT HÀNG - CẦN BẢO VỆ KL")),"")</f>
        <v/>
      </c>
      <c r="K632" s="138">
        <f>IF(OR(ISNUMBER(F632),ISNUMBER(G632)),IF(ISBLANK(G632),"Kỹ sư/Thầu phụ cần bóc tách KL bản vẽ",IF(H632&gt;=0,"Được đặt hàng tối đa "&amp;G632&amp;" "&amp;E632,"Vượt dự toán "&amp;ABS(H632)&amp;" "&amp;E632&amp;" (QS giải trình &amp; duyệt sửa BOQ)")),"")</f>
        <v/>
      </c>
    </row>
    <row r="633" ht="15.6" customHeight="1" s="75">
      <c r="A633" s="58" t="inlineStr">
        <is>
          <t>DHKK-C-III.2.6</t>
        </is>
      </c>
      <c r="B633" s="24" t="n"/>
      <c r="C633" s="98" t="inlineStr">
        <is>
          <t>FAG 500x300+OBD</t>
        </is>
      </c>
      <c r="D633" s="61" t="inlineStr">
        <is>
          <t>Cái</t>
        </is>
      </c>
      <c r="E633" s="61" t="inlineStr">
        <is>
          <t>Cái</t>
        </is>
      </c>
      <c r="F633" s="88" t="n">
        <v>82</v>
      </c>
      <c r="G633" s="88" t="n">
        <v>78</v>
      </c>
      <c r="H633" s="42">
        <f>IF(OR(ISNUMBER(F633),ISNUMBER(G633)),N(F633)-N(G633),"")</f>
        <v/>
      </c>
      <c r="I633" s="142" t="inlineStr">
        <is>
          <t>Miệng gió loại nan bầu dục 1 lớp nan kèm OBD</t>
        </is>
      </c>
      <c r="J633" s="117">
        <f>IF(OR(ISNUMBER(F633),ISNUMBER(G633)),IF(ISBLANK(G633),"⚠️ Chưa bóc tách định mức",IF(H633&gt;=0,"✅ OK - Cho phép đặt hàng","❌ CHẶN ĐẶT HÀNG - CẦN BẢO VỆ KL")),"")</f>
        <v/>
      </c>
      <c r="K633" s="138">
        <f>IF(OR(ISNUMBER(F633),ISNUMBER(G633)),IF(ISBLANK(G633),"Kỹ sư/Thầu phụ cần bóc tách KL bản vẽ",IF(H633&gt;=0,"Được đặt hàng tối đa "&amp;G633&amp;" "&amp;E633,"Vượt dự toán "&amp;ABS(H633)&amp;" "&amp;E633&amp;" (QS giải trình &amp; duyệt sửa BOQ)")),"")</f>
        <v/>
      </c>
    </row>
    <row r="634" ht="15.6" customHeight="1" s="75">
      <c r="A634" s="58" t="inlineStr">
        <is>
          <t>DHKK-C-III.2.7</t>
        </is>
      </c>
      <c r="B634" s="24" t="n"/>
      <c r="C634" s="98" t="inlineStr">
        <is>
          <t>VCD 1000x400</t>
        </is>
      </c>
      <c r="D634" s="61" t="inlineStr">
        <is>
          <t>Cái</t>
        </is>
      </c>
      <c r="E634" s="61" t="inlineStr">
        <is>
          <t>Cái</t>
        </is>
      </c>
      <c r="F634" s="88" t="n">
        <v>9</v>
      </c>
      <c r="G634" s="85" t="n"/>
      <c r="H634" s="42">
        <f>IF(OR(ISNUMBER(F634),ISNUMBER(G634)),N(F634)-N(G634),"")</f>
        <v/>
      </c>
      <c r="I634" s="142" t="inlineStr">
        <is>
          <t>EI120</t>
        </is>
      </c>
      <c r="J634" s="117">
        <f>IF(OR(ISNUMBER(F634),ISNUMBER(G634)),IF(ISBLANK(G634),"⚠️ Chưa bóc tách định mức",IF(H634&gt;=0,"✅ OK - Cho phép đặt hàng","❌ CHẶN ĐẶT HÀNG - CẦN BẢO VỆ KL")),"")</f>
        <v/>
      </c>
      <c r="K634" s="138">
        <f>IF(OR(ISNUMBER(F634),ISNUMBER(G634)),IF(ISBLANK(G634),"Kỹ sư/Thầu phụ cần bóc tách KL bản vẽ",IF(H634&gt;=0,"Được đặt hàng tối đa "&amp;G634&amp;" "&amp;E634,"Vượt dự toán "&amp;ABS(H634)&amp;" "&amp;E634&amp;" (QS giải trình &amp; duyệt sửa BOQ)")),"")</f>
        <v/>
      </c>
    </row>
    <row r="635" ht="15.6" customHeight="1" s="75">
      <c r="A635" s="58" t="inlineStr">
        <is>
          <t>DHKK-C-III.2.8</t>
        </is>
      </c>
      <c r="B635" s="24" t="n"/>
      <c r="C635" s="98" t="inlineStr">
        <is>
          <t>PRD 1500x1000</t>
        </is>
      </c>
      <c r="D635" s="61" t="inlineStr">
        <is>
          <t>Cái</t>
        </is>
      </c>
      <c r="E635" s="61" t="inlineStr">
        <is>
          <t>Cái</t>
        </is>
      </c>
      <c r="F635" s="88" t="n">
        <v>3</v>
      </c>
      <c r="G635" s="85" t="n"/>
      <c r="H635" s="42">
        <f>IF(OR(ISNUMBER(F635),ISNUMBER(G635)),N(F635)-N(G635),"")</f>
        <v/>
      </c>
      <c r="I635" s="137" t="n"/>
      <c r="J635" s="117">
        <f>IF(OR(ISNUMBER(F635),ISNUMBER(G635)),IF(ISBLANK(G635),"⚠️ Chưa bóc tách định mức",IF(H635&gt;=0,"✅ OK - Cho phép đặt hàng","❌ CHẶN ĐẶT HÀNG - CẦN BẢO VỆ KL")),"")</f>
        <v/>
      </c>
      <c r="K635" s="138">
        <f>IF(OR(ISNUMBER(F635),ISNUMBER(G635)),IF(ISBLANK(G635),"Kỹ sư/Thầu phụ cần bóc tách KL bản vẽ",IF(H635&gt;=0,"Được đặt hàng tối đa "&amp;G635&amp;" "&amp;E635,"Vượt dự toán "&amp;ABS(H635)&amp;" "&amp;E635&amp;" (QS giải trình &amp; duyệt sửa BOQ)")),"")</f>
        <v/>
      </c>
    </row>
    <row r="636" ht="15.6" customHeight="1" s="75">
      <c r="A636" s="58" t="inlineStr">
        <is>
          <t>DHKK-C-III.2.9</t>
        </is>
      </c>
      <c r="B636" s="24" t="n"/>
      <c r="C636" s="98" t="inlineStr">
        <is>
          <t>PRD 300x300</t>
        </is>
      </c>
      <c r="D636" s="61" t="inlineStr">
        <is>
          <t>Cái</t>
        </is>
      </c>
      <c r="E636" s="61" t="inlineStr">
        <is>
          <t>Cái</t>
        </is>
      </c>
      <c r="F636" s="88" t="n">
        <v>9</v>
      </c>
      <c r="G636" s="85" t="n"/>
      <c r="H636" s="42">
        <f>IF(OR(ISNUMBER(F636),ISNUMBER(G636)),N(F636)-N(G636),"")</f>
        <v/>
      </c>
      <c r="I636" s="137" t="n"/>
      <c r="J636" s="117">
        <f>IF(OR(ISNUMBER(F636),ISNUMBER(G636)),IF(ISBLANK(G636),"⚠️ Chưa bóc tách định mức",IF(H636&gt;=0,"✅ OK - Cho phép đặt hàng","❌ CHẶN ĐẶT HÀNG - CẦN BẢO VỆ KL")),"")</f>
        <v/>
      </c>
      <c r="K636" s="138">
        <f>IF(OR(ISNUMBER(F636),ISNUMBER(G636)),IF(ISBLANK(G636),"Kỹ sư/Thầu phụ cần bóc tách KL bản vẽ",IF(H636&gt;=0,"Được đặt hàng tối đa "&amp;G636&amp;" "&amp;E636,"Vượt dự toán "&amp;ABS(H636)&amp;" "&amp;E636&amp;" (QS giải trình &amp; duyệt sửa BOQ)")),"")</f>
        <v/>
      </c>
    </row>
    <row r="637" ht="15.6" customHeight="1" s="75">
      <c r="A637" s="58" t="inlineStr">
        <is>
          <t>DHKK-C-III.2.10</t>
        </is>
      </c>
      <c r="B637" s="24" t="n"/>
      <c r="C637" s="98" t="inlineStr">
        <is>
          <t>PRD 200x200</t>
        </is>
      </c>
      <c r="D637" s="61" t="inlineStr">
        <is>
          <t>Cái</t>
        </is>
      </c>
      <c r="E637" s="61" t="inlineStr">
        <is>
          <t>Cái</t>
        </is>
      </c>
      <c r="F637" s="88" t="n">
        <v>114</v>
      </c>
      <c r="G637" s="88" t="n">
        <v>104</v>
      </c>
      <c r="H637" s="42">
        <f>IF(OR(ISNUMBER(F637),ISNUMBER(G637)),N(F637)-N(G637),"")</f>
        <v/>
      </c>
      <c r="I637" s="137" t="n"/>
      <c r="J637" s="117">
        <f>IF(OR(ISNUMBER(F637),ISNUMBER(G637)),IF(ISBLANK(G637),"⚠️ Chưa bóc tách định mức",IF(H637&gt;=0,"✅ OK - Cho phép đặt hàng","❌ CHẶN ĐẶT HÀNG - CẦN BẢO VỆ KL")),"")</f>
        <v/>
      </c>
      <c r="K637" s="138">
        <f>IF(OR(ISNUMBER(F637),ISNUMBER(G637)),IF(ISBLANK(G637),"Kỹ sư/Thầu phụ cần bóc tách KL bản vẽ",IF(H637&gt;=0,"Được đặt hàng tối đa "&amp;G637&amp;" "&amp;E637,"Vượt dự toán "&amp;ABS(H637)&amp;" "&amp;E637&amp;" (QS giải trình &amp; duyệt sửa BOQ)")),"")</f>
        <v/>
      </c>
    </row>
    <row r="638" ht="15.6" customHeight="1" s="75">
      <c r="A638" s="58" t="inlineStr">
        <is>
          <t>DHKK-C-III.3.0</t>
        </is>
      </c>
      <c r="B638" s="37" t="n">
        <v>3</v>
      </c>
      <c r="C638" s="98" t="inlineStr">
        <is>
          <t>Ống gió</t>
        </is>
      </c>
      <c r="D638" s="24" t="n"/>
      <c r="E638" s="24" t="n"/>
      <c r="F638" s="85" t="n"/>
      <c r="G638" s="85" t="n"/>
      <c r="H638" s="44" t="n"/>
      <c r="I638" s="137" t="n"/>
    </row>
    <row r="639" ht="15.6" customHeight="1" s="75">
      <c r="A639" s="58" t="inlineStr">
        <is>
          <t>DHKK-C-III.3.1.0</t>
        </is>
      </c>
      <c r="B639" s="24" t="n"/>
      <c r="C639" s="98" t="inlineStr">
        <is>
          <t>Ống gió tole mạ kẽm dày 0.95mm</t>
        </is>
      </c>
      <c r="D639" s="61" t="inlineStr">
        <is>
          <t>m2</t>
        </is>
      </c>
      <c r="E639" s="61" t="inlineStr">
        <is>
          <t>m2</t>
        </is>
      </c>
      <c r="F639" s="88" t="n">
        <v>418</v>
      </c>
      <c r="G639" s="88" t="n">
        <v>658</v>
      </c>
      <c r="H639" s="60">
        <f>IF(OR(ISNUMBER(F639),ISNUMBER(G639)),N(F639)-N(G639),"")</f>
        <v/>
      </c>
      <c r="I639" s="137" t="n"/>
      <c r="J639" s="117">
        <f>IF(OR(ISNUMBER(F639),ISNUMBER(G639)),IF(ISBLANK(G639),"⚠️ Chưa bóc tách định mức",IF(H639&gt;=0,"✅ OK - Cho phép đặt hàng","❌ CHẶN ĐẶT HÀNG - CẦN BẢO VỆ KL")),"")</f>
        <v/>
      </c>
      <c r="K639" s="138">
        <f>IF(OR(ISNUMBER(F639),ISNUMBER(G639)),IF(ISBLANK(G639),"Kỹ sư/Thầu phụ cần bóc tách KL bản vẽ",IF(H639&gt;=0,"Được đặt hàng tối đa "&amp;G639&amp;" "&amp;E639,"Vượt dự toán "&amp;ABS(H639)&amp;" "&amp;E639&amp;" (QS giải trình &amp; duyệt sửa BOQ)")),"")</f>
        <v/>
      </c>
    </row>
    <row r="640" ht="15.6" customHeight="1" s="75">
      <c r="A640" s="58" t="inlineStr">
        <is>
          <t>DHKK-C-III.3.1.1</t>
        </is>
      </c>
      <c r="B640" s="24" t="n"/>
      <c r="C640" s="99" t="inlineStr">
        <is>
          <t>Ống 1600x300 L1110</t>
        </is>
      </c>
      <c r="D640" s="61" t="inlineStr">
        <is>
          <t>Ống</t>
        </is>
      </c>
      <c r="E640" s="61" t="inlineStr">
        <is>
          <t>Ống</t>
        </is>
      </c>
      <c r="F640" s="88" t="n">
        <v>52</v>
      </c>
      <c r="G640" s="88" t="n">
        <v>52</v>
      </c>
      <c r="H640" s="44">
        <f>IF(OR(ISNUMBER(F640),ISNUMBER(G640)),N(F640)-N(G640),"")</f>
        <v/>
      </c>
      <c r="I640" s="137" t="n"/>
      <c r="J640" s="117">
        <f>IF(OR(ISNUMBER(F640),ISNUMBER(G640)),IF(ISBLANK(G640),"⚠️ Chưa bóc tách định mức",IF(H640&gt;=0,"✅ OK - Cho phép đặt hàng","❌ CHẶN ĐẶT HÀNG - CẦN BẢO VỆ KL")),"")</f>
        <v/>
      </c>
      <c r="K640" s="138">
        <f>IF(OR(ISNUMBER(F640),ISNUMBER(G640)),IF(ISBLANK(G640),"Kỹ sư/Thầu phụ cần bóc tách KL bản vẽ",IF(H640&gt;=0,"Được đặt hàng tối đa "&amp;G640&amp;" "&amp;E640,"Vượt dự toán "&amp;ABS(H640)&amp;" "&amp;E640&amp;" (QS giải trình &amp; duyệt sửa BOQ)")),"")</f>
        <v/>
      </c>
    </row>
    <row r="641" ht="15.6" customHeight="1" s="75">
      <c r="A641" s="58" t="inlineStr">
        <is>
          <t>DHKK-C-III.3.1.2</t>
        </is>
      </c>
      <c r="B641" s="24" t="n"/>
      <c r="C641" s="99" t="inlineStr">
        <is>
          <t>Ống 1600x300 L940</t>
        </is>
      </c>
      <c r="D641" s="61" t="inlineStr">
        <is>
          <t>Ống</t>
        </is>
      </c>
      <c r="E641" s="151" t="inlineStr">
        <is>
          <t>Ống</t>
        </is>
      </c>
      <c r="F641" s="88" t="n">
        <v>26</v>
      </c>
      <c r="G641" s="88" t="n">
        <v>26</v>
      </c>
      <c r="H641" s="44">
        <f>IF(OR(ISNUMBER(F641),ISNUMBER(G641)),N(F641)-N(G641),"")</f>
        <v/>
      </c>
      <c r="I641" s="137" t="n"/>
      <c r="J641" s="117">
        <f>IF(OR(ISNUMBER(F641),ISNUMBER(G641)),IF(ISBLANK(G641),"⚠️ Chưa bóc tách định mức",IF(H641&gt;=0,"✅ OK - Cho phép đặt hàng","❌ CHẶN ĐẶT HÀNG - CẦN BẢO VỆ KL")),"")</f>
        <v/>
      </c>
      <c r="K641" s="138">
        <f>IF(OR(ISNUMBER(F641),ISNUMBER(G641)),IF(ISBLANK(G641),"Kỹ sư/Thầu phụ cần bóc tách KL bản vẽ",IF(H641&gt;=0,"Được đặt hàng tối đa "&amp;G641&amp;" "&amp;E641,"Vượt dự toán "&amp;ABS(H641)&amp;" "&amp;E641&amp;" (QS giải trình &amp; duyệt sửa BOQ)")),"")</f>
        <v/>
      </c>
    </row>
    <row r="642" ht="15.6" customHeight="1" s="75">
      <c r="A642" s="58" t="inlineStr">
        <is>
          <t>DHKK-C-III.3.1.3</t>
        </is>
      </c>
      <c r="B642" s="24" t="n"/>
      <c r="C642" s="99" t="inlineStr">
        <is>
          <t>Ống 1300x700 L1110</t>
        </is>
      </c>
      <c r="D642" s="61" t="inlineStr">
        <is>
          <t>Ống</t>
        </is>
      </c>
      <c r="E642" s="151" t="inlineStr">
        <is>
          <t>Ống</t>
        </is>
      </c>
      <c r="F642" s="88" t="n">
        <v>52</v>
      </c>
      <c r="G642" s="88" t="n">
        <v>52</v>
      </c>
      <c r="H642" s="44">
        <f>IF(OR(ISNUMBER(F642),ISNUMBER(G642)),N(F642)-N(G642),"")</f>
        <v/>
      </c>
      <c r="I642" s="137" t="n"/>
      <c r="J642" s="117">
        <f>IF(OR(ISNUMBER(F642),ISNUMBER(G642)),IF(ISBLANK(G642),"⚠️ Chưa bóc tách định mức",IF(H642&gt;=0,"✅ OK - Cho phép đặt hàng","❌ CHẶN ĐẶT HÀNG - CẦN BẢO VỆ KL")),"")</f>
        <v/>
      </c>
      <c r="K642" s="138">
        <f>IF(OR(ISNUMBER(F642),ISNUMBER(G642)),IF(ISBLANK(G642),"Kỹ sư/Thầu phụ cần bóc tách KL bản vẽ",IF(H642&gt;=0,"Được đặt hàng tối đa "&amp;G642&amp;" "&amp;E642,"Vượt dự toán "&amp;ABS(H642)&amp;" "&amp;E642&amp;" (QS giải trình &amp; duyệt sửa BOQ)")),"")</f>
        <v/>
      </c>
    </row>
    <row r="643" ht="15.6" customHeight="1" s="75">
      <c r="A643" s="58" t="inlineStr">
        <is>
          <t>DHKK-C-III.3.1.4</t>
        </is>
      </c>
      <c r="B643" s="24" t="n"/>
      <c r="C643" s="99" t="inlineStr">
        <is>
          <t>Ống 1300x700 L940</t>
        </is>
      </c>
      <c r="D643" s="61" t="inlineStr">
        <is>
          <t>Ống</t>
        </is>
      </c>
      <c r="E643" s="61" t="inlineStr">
        <is>
          <t>Ống</t>
        </is>
      </c>
      <c r="F643" s="88" t="n">
        <v>26</v>
      </c>
      <c r="G643" s="88" t="n">
        <v>26</v>
      </c>
      <c r="H643" s="44">
        <f>IF(OR(ISNUMBER(F643),ISNUMBER(G643)),N(F643)-N(G643),"")</f>
        <v/>
      </c>
      <c r="I643" s="137" t="n"/>
      <c r="J643" s="117">
        <f>IF(OR(ISNUMBER(F643),ISNUMBER(G643)),IF(ISBLANK(G643),"⚠️ Chưa bóc tách định mức",IF(H643&gt;=0,"✅ OK - Cho phép đặt hàng","❌ CHẶN ĐẶT HÀNG - CẦN BẢO VỆ KL")),"")</f>
        <v/>
      </c>
      <c r="K643" s="138">
        <f>IF(OR(ISNUMBER(F643),ISNUMBER(G643)),IF(ISBLANK(G643),"Kỹ sư/Thầu phụ cần bóc tách KL bản vẽ",IF(H643&gt;=0,"Được đặt hàng tối đa "&amp;G643&amp;" "&amp;E643,"Vượt dự toán "&amp;ABS(H643)&amp;" "&amp;E643&amp;" (QS giải trình &amp; duyệt sửa BOQ)")),"")</f>
        <v/>
      </c>
    </row>
    <row r="644" ht="28.5" customHeight="1" s="75">
      <c r="A644" s="58" t="inlineStr">
        <is>
          <t>DHKK-C-III.3.1.5</t>
        </is>
      </c>
      <c r="B644" s="24" t="n"/>
      <c r="C644" s="99" t="inlineStr">
        <is>
          <t>Nẹp Clip L1200 tole 1.15 lắp trục đứng(xem chi tiết bản vẽ)</t>
        </is>
      </c>
      <c r="D644" s="61" t="inlineStr">
        <is>
          <t>Cây</t>
        </is>
      </c>
      <c r="E644" s="61" t="inlineStr">
        <is>
          <t>Cây</t>
        </is>
      </c>
      <c r="F644" s="88" t="n">
        <v>156</v>
      </c>
      <c r="G644" s="88" t="n">
        <v>156</v>
      </c>
      <c r="H644" s="44">
        <f>IF(OR(ISNUMBER(F644),ISNUMBER(G644)),N(F644)-N(G644),"")</f>
        <v/>
      </c>
      <c r="I644" s="137" t="n"/>
      <c r="J644" s="117">
        <f>IF(OR(ISNUMBER(F644),ISNUMBER(G644)),IF(ISBLANK(G644),"⚠️ Chưa bóc tách định mức",IF(H644&gt;=0,"✅ OK - Cho phép đặt hàng","❌ CHẶN ĐẶT HÀNG - CẦN BẢO VỆ KL")),"")</f>
        <v/>
      </c>
      <c r="K644" s="138">
        <f>IF(OR(ISNUMBER(F644),ISNUMBER(G644)),IF(ISBLANK(G644),"Kỹ sư/Thầu phụ cần bóc tách KL bản vẽ",IF(H644&gt;=0,"Được đặt hàng tối đa "&amp;G644&amp;" "&amp;E644,"Vượt dự toán "&amp;ABS(H644)&amp;" "&amp;E644&amp;" (QS giải trình &amp; duyệt sửa BOQ)")),"")</f>
        <v/>
      </c>
    </row>
    <row r="645" ht="15.6" customHeight="1" s="75">
      <c r="A645" s="58" t="inlineStr">
        <is>
          <t>DHKK-C-III.30F</t>
        </is>
      </c>
      <c r="B645" s="24" t="n"/>
      <c r="C645" s="98" t="inlineStr">
        <is>
          <t>Ống Trục Tầng 30F-RF</t>
        </is>
      </c>
      <c r="D645" s="61" t="n"/>
      <c r="E645" s="61" t="n"/>
      <c r="F645" s="88" t="n"/>
      <c r="G645" s="88" t="n"/>
      <c r="H645" s="63" t="n"/>
      <c r="I645" s="137" t="n"/>
    </row>
    <row r="646" ht="15.6" customHeight="1" s="75">
      <c r="A646" s="58" t="inlineStr">
        <is>
          <t>DHKK-C-III.3.1.6</t>
        </is>
      </c>
      <c r="B646" s="24" t="n"/>
      <c r="C646" s="98" t="inlineStr">
        <is>
          <t>Ống bít đầu 1600x300x L1300</t>
        </is>
      </c>
      <c r="D646" s="61" t="n"/>
      <c r="E646" s="61" t="n"/>
      <c r="F646" s="88" t="n">
        <v>1</v>
      </c>
      <c r="G646" s="88" t="n">
        <v>1</v>
      </c>
      <c r="H646" s="63">
        <f>IF(OR(ISNUMBER(F646),ISNUMBER(G646)),N(F646)-N(G646),"")</f>
        <v/>
      </c>
      <c r="I646" s="137" t="n"/>
      <c r="J646" s="117">
        <f>IF(OR(ISNUMBER(F646),ISNUMBER(G646)),IF(ISBLANK(G646),"⚠️ Chưa bóc tách định mức",IF(H646&gt;=0,"✅ OK - Cho phép đặt hàng","❌ CHẶN ĐẶT HÀNG - CẦN BẢO VỆ KL")),"")</f>
        <v/>
      </c>
      <c r="K646" s="138">
        <f>IF(OR(ISNUMBER(F646),ISNUMBER(G646)),IF(ISBLANK(G646),"Kỹ sư/Thầu phụ cần bóc tách KL bản vẽ",IF(H646&gt;=0,"Được đặt hàng tối đa "&amp;G646&amp;" "&amp;E646,"Vượt dự toán "&amp;ABS(H646)&amp;" "&amp;E646&amp;" (QS giải trình &amp; duyệt sửa BOQ)")),"")</f>
        <v/>
      </c>
    </row>
    <row r="647" ht="15.6" customHeight="1" s="75">
      <c r="A647" s="58" t="inlineStr">
        <is>
          <t>DHKK-C-III.3.1.7</t>
        </is>
      </c>
      <c r="B647" s="24" t="n"/>
      <c r="C647" s="98" t="inlineStr">
        <is>
          <t>Ống 1600x300x L1110</t>
        </is>
      </c>
      <c r="D647" s="61" t="n"/>
      <c r="E647" s="61" t="n"/>
      <c r="F647" s="88" t="n">
        <v>8</v>
      </c>
      <c r="G647" s="88" t="n">
        <v>8</v>
      </c>
      <c r="H647" s="63">
        <f>IF(OR(ISNUMBER(F647),ISNUMBER(G647)),N(F647)-N(G647),"")</f>
        <v/>
      </c>
      <c r="I647" s="137" t="n"/>
      <c r="J647" s="117">
        <f>IF(OR(ISNUMBER(F647),ISNUMBER(G647)),IF(ISBLANK(G647),"⚠️ Chưa bóc tách định mức",IF(H647&gt;=0,"✅ OK - Cho phép đặt hàng","❌ CHẶN ĐẶT HÀNG - CẦN BẢO VỆ KL")),"")</f>
        <v/>
      </c>
      <c r="K647" s="138">
        <f>IF(OR(ISNUMBER(F647),ISNUMBER(G647)),IF(ISBLANK(G647),"Kỹ sư/Thầu phụ cần bóc tách KL bản vẽ",IF(H647&gt;=0,"Được đặt hàng tối đa "&amp;G647&amp;" "&amp;E647,"Vượt dự toán "&amp;ABS(H647)&amp;" "&amp;E647&amp;" (QS giải trình &amp; duyệt sửa BOQ)")),"")</f>
        <v/>
      </c>
    </row>
    <row r="648" ht="15.6" customHeight="1" s="75">
      <c r="A648" s="58" t="inlineStr">
        <is>
          <t>DHKK-C-III.3.1.8</t>
        </is>
      </c>
      <c r="B648" s="24" t="n"/>
      <c r="C648" s="98" t="inlineStr">
        <is>
          <t>Ống 1600x300x L</t>
        </is>
      </c>
      <c r="D648" s="61" t="n"/>
      <c r="E648" s="61" t="n"/>
      <c r="F648" s="88" t="n">
        <v>2</v>
      </c>
      <c r="G648" s="88" t="n">
        <v>2</v>
      </c>
      <c r="H648" s="63">
        <f>IF(OR(ISNUMBER(F648),ISNUMBER(G648)),N(F648)-N(G648),"")</f>
        <v/>
      </c>
      <c r="I648" s="137" t="n"/>
      <c r="J648" s="117">
        <f>IF(OR(ISNUMBER(F648),ISNUMBER(G648)),IF(ISBLANK(G648),"⚠️ Chưa bóc tách định mức",IF(H648&gt;=0,"✅ OK - Cho phép đặt hàng","❌ CHẶN ĐẶT HÀNG - CẦN BẢO VỆ KL")),"")</f>
        <v/>
      </c>
      <c r="K648" s="138">
        <f>IF(OR(ISNUMBER(F648),ISNUMBER(G648)),IF(ISBLANK(G648),"Kỹ sư/Thầu phụ cần bóc tách KL bản vẽ",IF(H648&gt;=0,"Được đặt hàng tối đa "&amp;G648&amp;" "&amp;E648,"Vượt dự toán "&amp;ABS(H648)&amp;" "&amp;E648&amp;" (QS giải trình &amp; duyệt sửa BOQ)")),"")</f>
        <v/>
      </c>
    </row>
    <row r="649" ht="15.6" customHeight="1" s="75">
      <c r="A649" s="58" t="inlineStr">
        <is>
          <t>DHKK-C-III.3.1.9</t>
        </is>
      </c>
      <c r="B649" s="24" t="n"/>
      <c r="C649" s="98" t="inlineStr">
        <is>
          <t>Gót giày 900x800/800x800  L150</t>
        </is>
      </c>
      <c r="D649" s="61" t="n"/>
      <c r="E649" s="61" t="n"/>
      <c r="F649" s="88" t="n">
        <v>1</v>
      </c>
      <c r="G649" s="88" t="n">
        <v>1</v>
      </c>
      <c r="H649" s="63">
        <f>IF(OR(ISNUMBER(F649),ISNUMBER(G649)),N(F649)-N(G649),"")</f>
        <v/>
      </c>
      <c r="I649" s="137" t="n"/>
      <c r="J649" s="117">
        <f>IF(OR(ISNUMBER(F649),ISNUMBER(G649)),IF(ISBLANK(G649),"⚠️ Chưa bóc tách định mức",IF(H649&gt;=0,"✅ OK - Cho phép đặt hàng","❌ CHẶN ĐẶT HÀNG - CẦN BẢO VỆ KL")),"")</f>
        <v/>
      </c>
      <c r="K649" s="138">
        <f>IF(OR(ISNUMBER(F649),ISNUMBER(G649)),IF(ISBLANK(G649),"Kỹ sư/Thầu phụ cần bóc tách KL bản vẽ",IF(H649&gt;=0,"Được đặt hàng tối đa "&amp;G649&amp;" "&amp;E649,"Vượt dự toán "&amp;ABS(H649)&amp;" "&amp;E649&amp;" (QS giải trình &amp; duyệt sửa BOQ)")),"")</f>
        <v/>
      </c>
    </row>
    <row r="650" ht="15.6" customHeight="1" s="75">
      <c r="A650" s="58" t="inlineStr">
        <is>
          <t>DHKK-C-III.3.1.10</t>
        </is>
      </c>
      <c r="B650" s="24" t="n"/>
      <c r="C650" s="98" t="inlineStr">
        <is>
          <t>Lượn 800x800 L150 E50</t>
        </is>
      </c>
      <c r="D650" s="61" t="n"/>
      <c r="E650" s="61" t="n"/>
      <c r="F650" s="88" t="n">
        <v>1</v>
      </c>
      <c r="G650" s="88" t="n">
        <v>1</v>
      </c>
      <c r="H650" s="63">
        <f>IF(OR(ISNUMBER(F650),ISNUMBER(G650)),N(F650)-N(G650),"")</f>
        <v/>
      </c>
      <c r="I650" s="137" t="n"/>
      <c r="J650" s="117">
        <f>IF(OR(ISNUMBER(F650),ISNUMBER(G650)),IF(ISBLANK(G650),"⚠️ Chưa bóc tách định mức",IF(H650&gt;=0,"✅ OK - Cho phép đặt hàng","❌ CHẶN ĐẶT HÀNG - CẦN BẢO VỆ KL")),"")</f>
        <v/>
      </c>
      <c r="K650" s="138">
        <f>IF(OR(ISNUMBER(F650),ISNUMBER(G650)),IF(ISBLANK(G650),"Kỹ sư/Thầu phụ cần bóc tách KL bản vẽ",IF(H650&gt;=0,"Được đặt hàng tối đa "&amp;G650&amp;" "&amp;E650,"Vượt dự toán "&amp;ABS(H650)&amp;" "&amp;E650&amp;" (QS giải trình &amp; duyệt sửa BOQ)")),"")</f>
        <v/>
      </c>
    </row>
    <row r="651" ht="15.6" customHeight="1" s="75">
      <c r="A651" s="58" t="n"/>
      <c r="B651" s="24" t="n"/>
      <c r="C651" s="98" t="n"/>
      <c r="D651" s="61" t="n"/>
      <c r="E651" s="61" t="n"/>
      <c r="F651" s="88" t="n"/>
      <c r="G651" s="88" t="n"/>
      <c r="H651" s="63" t="n"/>
      <c r="I651" s="137" t="n"/>
    </row>
    <row r="652" ht="15.6" customHeight="1" s="75">
      <c r="A652" s="58" t="inlineStr">
        <is>
          <t>DHKK-C-III.3.2.0</t>
        </is>
      </c>
      <c r="B652" s="24" t="n"/>
      <c r="C652" s="98" t="inlineStr">
        <is>
          <t>Ống gió tole mạ kẽm dày 0.75mm</t>
        </is>
      </c>
      <c r="D652" s="61" t="inlineStr">
        <is>
          <t>m2</t>
        </is>
      </c>
      <c r="E652" s="61" t="inlineStr">
        <is>
          <t>m2</t>
        </is>
      </c>
      <c r="F652" s="88" t="n">
        <v>2118</v>
      </c>
      <c r="G652" s="88" t="n">
        <v>1732</v>
      </c>
      <c r="H652" s="42">
        <f>IF(OR(ISNUMBER(F652),ISNUMBER(G652)),N(F652)-N(G652),"")</f>
        <v/>
      </c>
      <c r="I652" s="137" t="n"/>
      <c r="J652" s="117">
        <f>IF(OR(ISNUMBER(F652),ISNUMBER(G652)),IF(ISBLANK(G652),"⚠️ Chưa bóc tách định mức",IF(H652&gt;=0,"✅ OK - Cho phép đặt hàng","❌ CHẶN ĐẶT HÀNG - CẦN BẢO VỆ KL")),"")</f>
        <v/>
      </c>
      <c r="K652" s="138">
        <f>IF(OR(ISNUMBER(F652),ISNUMBER(G652)),IF(ISBLANK(G652),"Kỹ sư/Thầu phụ cần bóc tách KL bản vẽ",IF(H652&gt;=0,"Được đặt hàng tối đa "&amp;G652&amp;" "&amp;E652,"Vượt dự toán "&amp;ABS(H652)&amp;" "&amp;E652&amp;" (QS giải trình &amp; duyệt sửa BOQ)")),"")</f>
        <v/>
      </c>
    </row>
    <row r="653" ht="15.6" customHeight="1" s="75">
      <c r="A653" s="58" t="inlineStr">
        <is>
          <t>DHKK-C-III.3.2.1</t>
        </is>
      </c>
      <c r="B653" s="24" t="n"/>
      <c r="C653" s="99" t="inlineStr">
        <is>
          <t>Ống 1200x600 L1110</t>
        </is>
      </c>
      <c r="D653" s="61" t="inlineStr">
        <is>
          <t>Cái</t>
        </is>
      </c>
      <c r="E653" s="61" t="inlineStr">
        <is>
          <t>Cái</t>
        </is>
      </c>
      <c r="F653" s="88" t="n">
        <v>104</v>
      </c>
      <c r="G653" s="88" t="n">
        <v>104</v>
      </c>
      <c r="H653" s="42">
        <f>IF(OR(ISNUMBER(F653),ISNUMBER(G653)),N(F653)-N(G653),"")</f>
        <v/>
      </c>
      <c r="I653" s="137" t="n"/>
      <c r="J653" s="117">
        <f>IF(OR(ISNUMBER(F653),ISNUMBER(G653)),IF(ISBLANK(G653),"⚠️ Chưa bóc tách định mức",IF(H653&gt;=0,"✅ OK - Cho phép đặt hàng","❌ CHẶN ĐẶT HÀNG - CẦN BẢO VỆ KL")),"")</f>
        <v/>
      </c>
      <c r="K653" s="138">
        <f>IF(OR(ISNUMBER(F653),ISNUMBER(G653)),IF(ISBLANK(G653),"Kỹ sư/Thầu phụ cần bóc tách KL bản vẽ",IF(H653&gt;=0,"Được đặt hàng tối đa "&amp;G653&amp;" "&amp;E653,"Vượt dự toán "&amp;ABS(H653)&amp;" "&amp;E653&amp;" (QS giải trình &amp; duyệt sửa BOQ)")),"")</f>
        <v/>
      </c>
    </row>
    <row r="654" ht="15.6" customHeight="1" s="75">
      <c r="A654" s="58" t="inlineStr">
        <is>
          <t>DHKK-C-III.3.2.2</t>
        </is>
      </c>
      <c r="B654" s="24" t="n"/>
      <c r="C654" s="99" t="inlineStr">
        <is>
          <t>Ống 1200x600 L940</t>
        </is>
      </c>
      <c r="D654" s="61" t="inlineStr">
        <is>
          <t>Cái</t>
        </is>
      </c>
      <c r="E654" s="61" t="inlineStr">
        <is>
          <t>Cái</t>
        </is>
      </c>
      <c r="F654" s="88" t="n">
        <v>26</v>
      </c>
      <c r="G654" s="88" t="n">
        <v>26</v>
      </c>
      <c r="H654" s="42">
        <f>IF(OR(ISNUMBER(F654),ISNUMBER(G654)),N(F654)-N(G654),"")</f>
        <v/>
      </c>
      <c r="I654" s="137" t="n"/>
      <c r="J654" s="117">
        <f>IF(OR(ISNUMBER(F654),ISNUMBER(G654)),IF(ISBLANK(G654),"⚠️ Chưa bóc tách định mức",IF(H654&gt;=0,"✅ OK - Cho phép đặt hàng","❌ CHẶN ĐẶT HÀNG - CẦN BẢO VỆ KL")),"")</f>
        <v/>
      </c>
      <c r="K654" s="138">
        <f>IF(OR(ISNUMBER(F654),ISNUMBER(G654)),IF(ISBLANK(G654),"Kỹ sư/Thầu phụ cần bóc tách KL bản vẽ",IF(H654&gt;=0,"Được đặt hàng tối đa "&amp;G654&amp;" "&amp;E654,"Vượt dự toán "&amp;ABS(H654)&amp;" "&amp;E654&amp;" (QS giải trình &amp; duyệt sửa BOQ)")),"")</f>
        <v/>
      </c>
    </row>
    <row r="655" ht="15.6" customHeight="1" s="75">
      <c r="A655" s="58" t="inlineStr">
        <is>
          <t>DHKK-C-III.3.2.3</t>
        </is>
      </c>
      <c r="B655" s="24" t="n"/>
      <c r="C655" s="99" t="inlineStr">
        <is>
          <t>Ống 1200x600 L500</t>
        </is>
      </c>
      <c r="D655" s="61" t="inlineStr">
        <is>
          <t>Cái</t>
        </is>
      </c>
      <c r="E655" s="61" t="inlineStr">
        <is>
          <t>Cái</t>
        </is>
      </c>
      <c r="F655" s="88" t="n">
        <v>26</v>
      </c>
      <c r="G655" s="88" t="n">
        <v>26</v>
      </c>
      <c r="H655" s="42">
        <f>IF(OR(ISNUMBER(F655),ISNUMBER(G655)),N(F655)-N(G655),"")</f>
        <v/>
      </c>
      <c r="I655" s="137" t="n"/>
      <c r="J655" s="117">
        <f>IF(OR(ISNUMBER(F655),ISNUMBER(G655)),IF(ISBLANK(G655),"⚠️ Chưa bóc tách định mức",IF(H655&gt;=0,"✅ OK - Cho phép đặt hàng","❌ CHẶN ĐẶT HÀNG - CẦN BẢO VỆ KL")),"")</f>
        <v/>
      </c>
      <c r="K655" s="138">
        <f>IF(OR(ISNUMBER(F655),ISNUMBER(G655)),IF(ISBLANK(G655),"Kỹ sư/Thầu phụ cần bóc tách KL bản vẽ",IF(H655&gt;=0,"Được đặt hàng tối đa "&amp;G655&amp;" "&amp;E655,"Vượt dự toán "&amp;ABS(H655)&amp;" "&amp;E655&amp;" (QS giải trình &amp; duyệt sửa BOQ)")),"")</f>
        <v/>
      </c>
    </row>
    <row r="656" ht="15.6" customHeight="1" s="75">
      <c r="A656" s="58" t="inlineStr">
        <is>
          <t>DHKK-C-III.3.2.4</t>
        </is>
      </c>
      <c r="B656" s="24" t="n"/>
      <c r="C656" s="99" t="inlineStr">
        <is>
          <t>Ống 1200x600 L430</t>
        </is>
      </c>
      <c r="D656" s="61" t="inlineStr">
        <is>
          <t>Cái</t>
        </is>
      </c>
      <c r="E656" s="61" t="inlineStr">
        <is>
          <t>Cái</t>
        </is>
      </c>
      <c r="F656" s="88" t="n">
        <v>26</v>
      </c>
      <c r="G656" s="88" t="n">
        <v>26</v>
      </c>
      <c r="H656" s="42">
        <f>IF(OR(ISNUMBER(F656),ISNUMBER(G656)),N(F656)-N(G656),"")</f>
        <v/>
      </c>
      <c r="I656" s="137" t="n"/>
      <c r="J656" s="117">
        <f>IF(OR(ISNUMBER(F656),ISNUMBER(G656)),IF(ISBLANK(G656),"⚠️ Chưa bóc tách định mức",IF(H656&gt;=0,"✅ OK - Cho phép đặt hàng","❌ CHẶN ĐẶT HÀNG - CẦN BẢO VỆ KL")),"")</f>
        <v/>
      </c>
      <c r="K656" s="138">
        <f>IF(OR(ISNUMBER(F656),ISNUMBER(G656)),IF(ISBLANK(G656),"Kỹ sư/Thầu phụ cần bóc tách KL bản vẽ",IF(H656&gt;=0,"Được đặt hàng tối đa "&amp;G656&amp;" "&amp;E656,"Vượt dự toán "&amp;ABS(H656)&amp;" "&amp;E656&amp;" (QS giải trình &amp; duyệt sửa BOQ)")),"")</f>
        <v/>
      </c>
    </row>
    <row r="657" ht="15.6" customHeight="1" s="75">
      <c r="A657" s="58" t="inlineStr">
        <is>
          <t>DHKK-C-III.3.2.5</t>
        </is>
      </c>
      <c r="B657" s="24" t="n"/>
      <c r="C657" s="99" t="inlineStr">
        <is>
          <t>Ống 1150x400 L1110</t>
        </is>
      </c>
      <c r="D657" s="61" t="inlineStr">
        <is>
          <t>Cái</t>
        </is>
      </c>
      <c r="E657" s="61" t="inlineStr">
        <is>
          <t>Cái</t>
        </is>
      </c>
      <c r="F657" s="88" t="n">
        <v>52</v>
      </c>
      <c r="G657" s="88" t="n">
        <v>52</v>
      </c>
      <c r="H657" s="42">
        <f>IF(OR(ISNUMBER(F657),ISNUMBER(G657)),N(F657)-N(G657),"")</f>
        <v/>
      </c>
      <c r="I657" s="137" t="n"/>
      <c r="J657" s="117">
        <f>IF(OR(ISNUMBER(F657),ISNUMBER(G657)),IF(ISBLANK(G657),"⚠️ Chưa bóc tách định mức",IF(H657&gt;=0,"✅ OK - Cho phép đặt hàng","❌ CHẶN ĐẶT HÀNG - CẦN BẢO VỆ KL")),"")</f>
        <v/>
      </c>
      <c r="K657" s="138">
        <f>IF(OR(ISNUMBER(F657),ISNUMBER(G657)),IF(ISBLANK(G657),"Kỹ sư/Thầu phụ cần bóc tách KL bản vẽ",IF(H657&gt;=0,"Được đặt hàng tối đa "&amp;G657&amp;" "&amp;E657,"Vượt dự toán "&amp;ABS(H657)&amp;" "&amp;E657&amp;" (QS giải trình &amp; duyệt sửa BOQ)")),"")</f>
        <v/>
      </c>
    </row>
    <row r="658" ht="15.6" customHeight="1" s="75">
      <c r="A658" s="58" t="inlineStr">
        <is>
          <t>DHKK-C-III.3.2.6</t>
        </is>
      </c>
      <c r="B658" s="24" t="n"/>
      <c r="C658" s="99" t="inlineStr">
        <is>
          <t>Ống 1150x400 L500</t>
        </is>
      </c>
      <c r="D658" s="61" t="inlineStr">
        <is>
          <t>Cái</t>
        </is>
      </c>
      <c r="E658" s="61" t="inlineStr">
        <is>
          <t>Cái</t>
        </is>
      </c>
      <c r="F658" s="88" t="n">
        <v>26</v>
      </c>
      <c r="G658" s="88" t="n">
        <v>26</v>
      </c>
      <c r="H658" s="42">
        <f>IF(OR(ISNUMBER(F658),ISNUMBER(G658)),N(F658)-N(G658),"")</f>
        <v/>
      </c>
      <c r="I658" s="137" t="n"/>
      <c r="J658" s="117">
        <f>IF(OR(ISNUMBER(F658),ISNUMBER(G658)),IF(ISBLANK(G658),"⚠️ Chưa bóc tách định mức",IF(H658&gt;=0,"✅ OK - Cho phép đặt hàng","❌ CHẶN ĐẶT HÀNG - CẦN BẢO VỆ KL")),"")</f>
        <v/>
      </c>
      <c r="K658" s="138">
        <f>IF(OR(ISNUMBER(F658),ISNUMBER(G658)),IF(ISBLANK(G658),"Kỹ sư/Thầu phụ cần bóc tách KL bản vẽ",IF(H658&gt;=0,"Được đặt hàng tối đa "&amp;G658&amp;" "&amp;E658,"Vượt dự toán "&amp;ABS(H658)&amp;" "&amp;E658&amp;" (QS giải trình &amp; duyệt sửa BOQ)")),"")</f>
        <v/>
      </c>
    </row>
    <row r="659" ht="15.6" customHeight="1" s="75">
      <c r="A659" s="58" t="inlineStr">
        <is>
          <t>DHKK-C-III.3.2.7</t>
        </is>
      </c>
      <c r="B659" s="24" t="n"/>
      <c r="C659" s="99" t="inlineStr">
        <is>
          <t>Ống 1150x400 L430</t>
        </is>
      </c>
      <c r="D659" s="61" t="inlineStr">
        <is>
          <t>Cái</t>
        </is>
      </c>
      <c r="E659" s="61" t="inlineStr">
        <is>
          <t>Cái</t>
        </is>
      </c>
      <c r="F659" s="88" t="n">
        <v>26</v>
      </c>
      <c r="G659" s="88" t="n">
        <v>26</v>
      </c>
      <c r="H659" s="42">
        <f>IF(OR(ISNUMBER(F659),ISNUMBER(G659)),N(F659)-N(G659),"")</f>
        <v/>
      </c>
      <c r="I659" s="137" t="n"/>
      <c r="J659" s="117">
        <f>IF(OR(ISNUMBER(F659),ISNUMBER(G659)),IF(ISBLANK(G659),"⚠️ Chưa bóc tách định mức",IF(H659&gt;=0,"✅ OK - Cho phép đặt hàng","❌ CHẶN ĐẶT HÀNG - CẦN BẢO VỆ KL")),"")</f>
        <v/>
      </c>
      <c r="K659" s="138">
        <f>IF(OR(ISNUMBER(F659),ISNUMBER(G659)),IF(ISBLANK(G659),"Kỹ sư/Thầu phụ cần bóc tách KL bản vẽ",IF(H659&gt;=0,"Được đặt hàng tối đa "&amp;G659&amp;" "&amp;E659,"Vượt dự toán "&amp;ABS(H659)&amp;" "&amp;E659&amp;" (QS giải trình &amp; duyệt sửa BOQ)")),"")</f>
        <v/>
      </c>
    </row>
    <row r="660" ht="15.6" customHeight="1" s="75">
      <c r="A660" s="58" t="inlineStr">
        <is>
          <t>DHKK-C-III.3.2.8</t>
        </is>
      </c>
      <c r="B660" s="24" t="n"/>
      <c r="C660" s="99" t="inlineStr">
        <is>
          <t>Ống 1100x400 L1110</t>
        </is>
      </c>
      <c r="D660" s="61" t="inlineStr">
        <is>
          <t>Cái</t>
        </is>
      </c>
      <c r="E660" s="61" t="inlineStr">
        <is>
          <t>Cái</t>
        </is>
      </c>
      <c r="F660" s="88" t="n">
        <v>52</v>
      </c>
      <c r="G660" s="88" t="n">
        <v>52</v>
      </c>
      <c r="H660" s="42">
        <f>IF(OR(ISNUMBER(F660),ISNUMBER(G660)),N(F660)-N(G660),"")</f>
        <v/>
      </c>
      <c r="I660" s="137" t="n"/>
      <c r="J660" s="117">
        <f>IF(OR(ISNUMBER(F660),ISNUMBER(G660)),IF(ISBLANK(G660),"⚠️ Chưa bóc tách định mức",IF(H660&gt;=0,"✅ OK - Cho phép đặt hàng","❌ CHẶN ĐẶT HÀNG - CẦN BẢO VỆ KL")),"")</f>
        <v/>
      </c>
      <c r="K660" s="138">
        <f>IF(OR(ISNUMBER(F660),ISNUMBER(G660)),IF(ISBLANK(G660),"Kỹ sư/Thầu phụ cần bóc tách KL bản vẽ",IF(H660&gt;=0,"Được đặt hàng tối đa "&amp;G660&amp;" "&amp;E660,"Vượt dự toán "&amp;ABS(H660)&amp;" "&amp;E660&amp;" (QS giải trình &amp; duyệt sửa BOQ)")),"")</f>
        <v/>
      </c>
    </row>
    <row r="661" ht="15.6" customHeight="1" s="75">
      <c r="A661" s="58" t="inlineStr">
        <is>
          <t>DHKK-C-III.3.2.9</t>
        </is>
      </c>
      <c r="B661" s="24" t="n"/>
      <c r="C661" s="99" t="inlineStr">
        <is>
          <t>Ống 1100x400 L940</t>
        </is>
      </c>
      <c r="D661" s="61" t="inlineStr">
        <is>
          <t>Cái</t>
        </is>
      </c>
      <c r="E661" s="61" t="inlineStr">
        <is>
          <t>Cái</t>
        </is>
      </c>
      <c r="F661" s="88" t="n">
        <v>26</v>
      </c>
      <c r="G661" s="88" t="n">
        <v>26</v>
      </c>
      <c r="H661" s="42">
        <f>IF(OR(ISNUMBER(F661),ISNUMBER(G661)),N(F661)-N(G661),"")</f>
        <v/>
      </c>
      <c r="I661" s="137" t="n"/>
      <c r="J661" s="117">
        <f>IF(OR(ISNUMBER(F661),ISNUMBER(G661)),IF(ISBLANK(G661),"⚠️ Chưa bóc tách định mức",IF(H661&gt;=0,"✅ OK - Cho phép đặt hàng","❌ CHẶN ĐẶT HÀNG - CẦN BẢO VỆ KL")),"")</f>
        <v/>
      </c>
      <c r="K661" s="138">
        <f>IF(OR(ISNUMBER(F661),ISNUMBER(G661)),IF(ISBLANK(G661),"Kỹ sư/Thầu phụ cần bóc tách KL bản vẽ",IF(H661&gt;=0,"Được đặt hàng tối đa "&amp;G661&amp;" "&amp;E661,"Vượt dự toán "&amp;ABS(H661)&amp;" "&amp;E661&amp;" (QS giải trình &amp; duyệt sửa BOQ)")),"")</f>
        <v/>
      </c>
    </row>
    <row r="662" ht="15.6" customHeight="1" s="75">
      <c r="A662" s="58" t="inlineStr">
        <is>
          <t>DHKK-C-III.3.2.10</t>
        </is>
      </c>
      <c r="B662" s="24" t="n"/>
      <c r="C662" s="99" t="inlineStr">
        <is>
          <t>Ống 650x750 L1110</t>
        </is>
      </c>
      <c r="D662" s="61" t="inlineStr">
        <is>
          <t>Cái</t>
        </is>
      </c>
      <c r="E662" s="61" t="inlineStr">
        <is>
          <t>Cái</t>
        </is>
      </c>
      <c r="F662" s="88" t="n">
        <v>52</v>
      </c>
      <c r="G662" s="88" t="n">
        <v>52</v>
      </c>
      <c r="H662" s="42">
        <f>IF(OR(ISNUMBER(F662),ISNUMBER(G662)),N(F662)-N(G662),"")</f>
        <v/>
      </c>
      <c r="I662" s="137" t="n"/>
      <c r="J662" s="117">
        <f>IF(OR(ISNUMBER(F662),ISNUMBER(G662)),IF(ISBLANK(G662),"⚠️ Chưa bóc tách định mức",IF(H662&gt;=0,"✅ OK - Cho phép đặt hàng","❌ CHẶN ĐẶT HÀNG - CẦN BẢO VỆ KL")),"")</f>
        <v/>
      </c>
      <c r="K662" s="138">
        <f>IF(OR(ISNUMBER(F662),ISNUMBER(G662)),IF(ISBLANK(G662),"Kỹ sư/Thầu phụ cần bóc tách KL bản vẽ",IF(H662&gt;=0,"Được đặt hàng tối đa "&amp;G662&amp;" "&amp;E662,"Vượt dự toán "&amp;ABS(H662)&amp;" "&amp;E662&amp;" (QS giải trình &amp; duyệt sửa BOQ)")),"")</f>
        <v/>
      </c>
    </row>
    <row r="663" ht="15.6" customHeight="1" s="75">
      <c r="A663" s="58" t="inlineStr">
        <is>
          <t>DHKK-C-III.3.2.11</t>
        </is>
      </c>
      <c r="B663" s="24" t="n"/>
      <c r="C663" s="99" t="inlineStr">
        <is>
          <t>Ống 650x750 L500</t>
        </is>
      </c>
      <c r="D663" s="61" t="inlineStr">
        <is>
          <t>Cái</t>
        </is>
      </c>
      <c r="E663" s="61" t="inlineStr">
        <is>
          <t>Cái</t>
        </is>
      </c>
      <c r="F663" s="88" t="n">
        <v>26</v>
      </c>
      <c r="G663" s="88" t="n">
        <v>26</v>
      </c>
      <c r="H663" s="42">
        <f>IF(OR(ISNUMBER(F663),ISNUMBER(G663)),N(F663)-N(G663),"")</f>
        <v/>
      </c>
      <c r="I663" s="137" t="n"/>
      <c r="J663" s="117">
        <f>IF(OR(ISNUMBER(F663),ISNUMBER(G663)),IF(ISBLANK(G663),"⚠️ Chưa bóc tách định mức",IF(H663&gt;=0,"✅ OK - Cho phép đặt hàng","❌ CHẶN ĐẶT HÀNG - CẦN BẢO VỆ KL")),"")</f>
        <v/>
      </c>
      <c r="K663" s="138">
        <f>IF(OR(ISNUMBER(F663),ISNUMBER(G663)),IF(ISBLANK(G663),"Kỹ sư/Thầu phụ cần bóc tách KL bản vẽ",IF(H663&gt;=0,"Được đặt hàng tối đa "&amp;G663&amp;" "&amp;E663,"Vượt dự toán "&amp;ABS(H663)&amp;" "&amp;E663&amp;" (QS giải trình &amp; duyệt sửa BOQ)")),"")</f>
        <v/>
      </c>
    </row>
    <row r="664" ht="15.6" customHeight="1" s="75">
      <c r="A664" s="58" t="inlineStr">
        <is>
          <t>DHKK-C-III.3.2.12</t>
        </is>
      </c>
      <c r="B664" s="24" t="n"/>
      <c r="C664" s="99" t="inlineStr">
        <is>
          <t>Ống 650x750 L430</t>
        </is>
      </c>
      <c r="D664" s="61" t="inlineStr">
        <is>
          <t>Cái</t>
        </is>
      </c>
      <c r="E664" s="61" t="inlineStr">
        <is>
          <t>Cái</t>
        </is>
      </c>
      <c r="F664" s="88" t="n">
        <v>26</v>
      </c>
      <c r="G664" s="88" t="n">
        <v>26</v>
      </c>
      <c r="H664" s="42">
        <f>IF(OR(ISNUMBER(F664),ISNUMBER(G664)),N(F664)-N(G664),"")</f>
        <v/>
      </c>
      <c r="I664" s="137" t="n"/>
      <c r="J664" s="117">
        <f>IF(OR(ISNUMBER(F664),ISNUMBER(G664)),IF(ISBLANK(G664),"⚠️ Chưa bóc tách định mức",IF(H664&gt;=0,"✅ OK - Cho phép đặt hàng","❌ CHẶN ĐẶT HÀNG - CẦN BẢO VỆ KL")),"")</f>
        <v/>
      </c>
      <c r="K664" s="138">
        <f>IF(OR(ISNUMBER(F664),ISNUMBER(G664)),IF(ISBLANK(G664),"Kỹ sư/Thầu phụ cần bóc tách KL bản vẽ",IF(H664&gt;=0,"Được đặt hàng tối đa "&amp;G664&amp;" "&amp;E664,"Vượt dự toán "&amp;ABS(H664)&amp;" "&amp;E664&amp;" (QS giải trình &amp; duyệt sửa BOQ)")),"")</f>
        <v/>
      </c>
    </row>
    <row r="665" ht="15.6" customHeight="1" s="75">
      <c r="A665" s="58" t="inlineStr">
        <is>
          <t>DHKK-C-III.3.2.13</t>
        </is>
      </c>
      <c r="B665" s="24" t="n"/>
      <c r="C665" s="99" t="inlineStr">
        <is>
          <t>Bù 210x210 L200</t>
        </is>
      </c>
      <c r="D665" s="61" t="inlineStr">
        <is>
          <t>Cái</t>
        </is>
      </c>
      <c r="E665" s="61" t="inlineStr">
        <is>
          <t>Cái</t>
        </is>
      </c>
      <c r="F665" s="88" t="n">
        <v>104</v>
      </c>
      <c r="G665" s="88" t="n">
        <v>104</v>
      </c>
      <c r="H665" s="42">
        <f>IF(OR(ISNUMBER(F665),ISNUMBER(G665)),N(F665)-N(G665),"")</f>
        <v/>
      </c>
      <c r="I665" s="137" t="n"/>
      <c r="J665" s="117">
        <f>IF(OR(ISNUMBER(F665),ISNUMBER(G665)),IF(ISBLANK(G665),"⚠️ Chưa bóc tách định mức",IF(H665&gt;=0,"✅ OK - Cho phép đặt hàng","❌ CHẶN ĐẶT HÀNG - CẦN BẢO VỆ KL")),"")</f>
        <v/>
      </c>
      <c r="K665" s="138">
        <f>IF(OR(ISNUMBER(F665),ISNUMBER(G665)),IF(ISBLANK(G665),"Kỹ sư/Thầu phụ cần bóc tách KL bản vẽ",IF(H665&gt;=0,"Được đặt hàng tối đa "&amp;G665&amp;" "&amp;E665,"Vượt dự toán "&amp;ABS(H665)&amp;" "&amp;E665&amp;" (QS giải trình &amp; duyệt sửa BOQ)")),"")</f>
        <v/>
      </c>
    </row>
    <row r="666" ht="15.6" customHeight="1" s="75">
      <c r="A666" s="58" t="inlineStr">
        <is>
          <t>DHKK-C-III.3.2.14</t>
        </is>
      </c>
      <c r="B666" s="24" t="n"/>
      <c r="C666" s="99" t="inlineStr">
        <is>
          <t>Bù 310x310 L300</t>
        </is>
      </c>
      <c r="D666" s="61" t="inlineStr">
        <is>
          <t>Cái</t>
        </is>
      </c>
      <c r="E666" s="61" t="inlineStr">
        <is>
          <t>Cái</t>
        </is>
      </c>
      <c r="F666" s="88" t="n">
        <v>26</v>
      </c>
      <c r="G666" s="88" t="n">
        <v>26</v>
      </c>
      <c r="H666" s="42">
        <f>IF(OR(ISNUMBER(F666),ISNUMBER(G666)),N(F666)-N(G666),"")</f>
        <v/>
      </c>
      <c r="I666" s="137" t="n"/>
      <c r="J666" s="117">
        <f>IF(OR(ISNUMBER(F666),ISNUMBER(G666)),IF(ISBLANK(G666),"⚠️ Chưa bóc tách định mức",IF(H666&gt;=0,"✅ OK - Cho phép đặt hàng","❌ CHẶN ĐẶT HÀNG - CẦN BẢO VỆ KL")),"")</f>
        <v/>
      </c>
      <c r="K666" s="138">
        <f>IF(OR(ISNUMBER(F666),ISNUMBER(G666)),IF(ISBLANK(G666),"Kỹ sư/Thầu phụ cần bóc tách KL bản vẽ",IF(H666&gt;=0,"Được đặt hàng tối đa "&amp;G666&amp;" "&amp;E666,"Vượt dự toán "&amp;ABS(H666)&amp;" "&amp;E666&amp;" (QS giải trình &amp; duyệt sửa BOQ)")),"")</f>
        <v/>
      </c>
    </row>
    <row r="667" ht="15.6" customHeight="1" s="75">
      <c r="A667" s="58" t="inlineStr">
        <is>
          <t>DHKK-C-III.3.2.15</t>
        </is>
      </c>
      <c r="B667" s="24" t="n"/>
      <c r="C667" s="99" t="inlineStr">
        <is>
          <t>Gót MG 410x310/310x310 L300</t>
        </is>
      </c>
      <c r="D667" s="61" t="inlineStr">
        <is>
          <t>Cái</t>
        </is>
      </c>
      <c r="E667" s="61" t="inlineStr">
        <is>
          <t>Cái</t>
        </is>
      </c>
      <c r="F667" s="88" t="n">
        <v>26</v>
      </c>
      <c r="G667" s="88" t="n">
        <v>26</v>
      </c>
      <c r="H667" s="42">
        <f>IF(OR(ISNUMBER(F667),ISNUMBER(G667)),N(F667)-N(G667),"")</f>
        <v/>
      </c>
      <c r="I667" s="137" t="n"/>
      <c r="J667" s="117">
        <f>IF(OR(ISNUMBER(F667),ISNUMBER(G667)),IF(ISBLANK(G667),"⚠️ Chưa bóc tách định mức",IF(H667&gt;=0,"✅ OK - Cho phép đặt hàng","❌ CHẶN ĐẶT HÀNG - CẦN BẢO VỆ KL")),"")</f>
        <v/>
      </c>
      <c r="K667" s="138">
        <f>IF(OR(ISNUMBER(F667),ISNUMBER(G667)),IF(ISBLANK(G667),"Kỹ sư/Thầu phụ cần bóc tách KL bản vẽ",IF(H667&gt;=0,"Được đặt hàng tối đa "&amp;G667&amp;" "&amp;E667,"Vượt dự toán "&amp;ABS(H667)&amp;" "&amp;E667&amp;" (QS giải trình &amp; duyệt sửa BOQ)")),"")</f>
        <v/>
      </c>
    </row>
    <row r="668" ht="15.6" customHeight="1" s="75">
      <c r="A668" s="58" t="inlineStr">
        <is>
          <t>DHKK-C-III.3.2.16</t>
        </is>
      </c>
      <c r="B668" s="24" t="n"/>
      <c r="C668" s="99" t="inlineStr">
        <is>
          <t>Gót MG 600X350/550X300 L240</t>
        </is>
      </c>
      <c r="D668" s="61" t="inlineStr">
        <is>
          <t>Cái</t>
        </is>
      </c>
      <c r="E668" s="61" t="inlineStr">
        <is>
          <t>Cái</t>
        </is>
      </c>
      <c r="F668" s="88" t="n">
        <v>26</v>
      </c>
      <c r="G668" s="88" t="n">
        <v>26</v>
      </c>
      <c r="H668" s="42">
        <f>IF(OR(ISNUMBER(F668),ISNUMBER(G668)),N(F668)-N(G668),"")</f>
        <v/>
      </c>
      <c r="I668" s="137" t="n"/>
      <c r="J668" s="117">
        <f>IF(OR(ISNUMBER(F668),ISNUMBER(G668)),IF(ISBLANK(G668),"⚠️ Chưa bóc tách định mức",IF(H668&gt;=0,"✅ OK - Cho phép đặt hàng","❌ CHẶN ĐẶT HÀNG - CẦN BẢO VỆ KL")),"")</f>
        <v/>
      </c>
      <c r="K668" s="138">
        <f>IF(OR(ISNUMBER(F668),ISNUMBER(G668)),IF(ISBLANK(G668),"Kỹ sư/Thầu phụ cần bóc tách KL bản vẽ",IF(H668&gt;=0,"Được đặt hàng tối đa "&amp;G668&amp;" "&amp;E668,"Vượt dự toán "&amp;ABS(H668)&amp;" "&amp;E668&amp;" (QS giải trình &amp; duyệt sửa BOQ)")),"")</f>
        <v/>
      </c>
    </row>
    <row r="669" ht="15.6" customHeight="1" s="75">
      <c r="A669" s="58" t="inlineStr">
        <is>
          <t>DHKK-C-III.3.2.17</t>
        </is>
      </c>
      <c r="B669" s="24" t="n"/>
      <c r="C669" s="99" t="inlineStr">
        <is>
          <t>Gót MG 610X510/510X510 L320</t>
        </is>
      </c>
      <c r="D669" s="61" t="inlineStr">
        <is>
          <t>Cái</t>
        </is>
      </c>
      <c r="E669" s="61" t="inlineStr">
        <is>
          <t>Cái</t>
        </is>
      </c>
      <c r="F669" s="88" t="n">
        <v>52</v>
      </c>
      <c r="G669" s="88" t="n">
        <v>52</v>
      </c>
      <c r="H669" s="42">
        <f>IF(OR(ISNUMBER(F669),ISNUMBER(G669)),N(F669)-N(G669),"")</f>
        <v/>
      </c>
      <c r="I669" s="137" t="n"/>
      <c r="J669" s="117">
        <f>IF(OR(ISNUMBER(F669),ISNUMBER(G669)),IF(ISBLANK(G669),"⚠️ Chưa bóc tách định mức",IF(H669&gt;=0,"✅ OK - Cho phép đặt hàng","❌ CHẶN ĐẶT HÀNG - CẦN BẢO VỆ KL")),"")</f>
        <v/>
      </c>
      <c r="K669" s="138">
        <f>IF(OR(ISNUMBER(F669),ISNUMBER(G669)),IF(ISBLANK(G669),"Kỹ sư/Thầu phụ cần bóc tách KL bản vẽ",IF(H669&gt;=0,"Được đặt hàng tối đa "&amp;G669&amp;" "&amp;E669,"Vượt dự toán "&amp;ABS(H669)&amp;" "&amp;E669&amp;" (QS giải trình &amp; duyệt sửa BOQ)")),"")</f>
        <v/>
      </c>
    </row>
    <row r="670" ht="15.6" customHeight="1" s="75">
      <c r="A670" s="58" t="inlineStr">
        <is>
          <t>DHKK-C-III.3.2.18</t>
        </is>
      </c>
      <c r="B670" s="24" t="n"/>
      <c r="C670" s="99" t="inlineStr">
        <is>
          <t>Gót MG 510x410/510x310 L300</t>
        </is>
      </c>
      <c r="D670" s="61" t="inlineStr">
        <is>
          <t>Cái</t>
        </is>
      </c>
      <c r="E670" s="61" t="inlineStr">
        <is>
          <t>Cái</t>
        </is>
      </c>
      <c r="F670" s="88" t="n">
        <v>78</v>
      </c>
      <c r="G670" s="88" t="n">
        <v>78</v>
      </c>
      <c r="H670" s="42">
        <f>IF(OR(ISNUMBER(F670),ISNUMBER(G670)),N(F670)-N(G670),"")</f>
        <v/>
      </c>
      <c r="I670" s="137" t="n"/>
      <c r="J670" s="117">
        <f>IF(OR(ISNUMBER(F670),ISNUMBER(G670)),IF(ISBLANK(G670),"⚠️ Chưa bóc tách định mức",IF(H670&gt;=0,"✅ OK - Cho phép đặt hàng","❌ CHẶN ĐẶT HÀNG - CẦN BẢO VỆ KL")),"")</f>
        <v/>
      </c>
      <c r="K670" s="138">
        <f>IF(OR(ISNUMBER(F670),ISNUMBER(G670)),IF(ISBLANK(G670),"Kỹ sư/Thầu phụ cần bóc tách KL bản vẽ",IF(H670&gt;=0,"Được đặt hàng tối đa "&amp;G670&amp;" "&amp;E670,"Vượt dự toán "&amp;ABS(H670)&amp;" "&amp;E670&amp;" (QS giải trình &amp; duyệt sửa BOQ)")),"")</f>
        <v/>
      </c>
    </row>
    <row r="671" ht="15.6" customHeight="1" s="75">
      <c r="A671" s="58" t="inlineStr">
        <is>
          <t>DHKK-C-III.3.2.19</t>
        </is>
      </c>
      <c r="B671" s="24" t="n"/>
      <c r="C671" s="99" t="inlineStr">
        <is>
          <t>Nẹp Clip L1200 tole 0.95</t>
        </is>
      </c>
      <c r="D671" s="61" t="inlineStr">
        <is>
          <t>Cây</t>
        </is>
      </c>
      <c r="E671" s="61" t="inlineStr">
        <is>
          <t>Cây</t>
        </is>
      </c>
      <c r="F671" s="88" t="n">
        <v>7000</v>
      </c>
      <c r="G671" s="88" t="n">
        <v>7000</v>
      </c>
      <c r="H671" s="42">
        <f>IF(OR(ISNUMBER(F671),ISNUMBER(G671)),N(F671)-N(G671),"")</f>
        <v/>
      </c>
      <c r="I671" s="137" t="n"/>
      <c r="J671" s="117">
        <f>IF(OR(ISNUMBER(F671),ISNUMBER(G671)),IF(ISBLANK(G671),"⚠️ Chưa bóc tách định mức",IF(H671&gt;=0,"✅ OK - Cho phép đặt hàng","❌ CHẶN ĐẶT HÀNG - CẦN BẢO VỆ KL")),"")</f>
        <v/>
      </c>
      <c r="K671" s="138">
        <f>IF(OR(ISNUMBER(F671),ISNUMBER(G671)),IF(ISBLANK(G671),"Kỹ sư/Thầu phụ cần bóc tách KL bản vẽ",IF(H671&gt;=0,"Được đặt hàng tối đa "&amp;G671&amp;" "&amp;E671,"Vượt dự toán "&amp;ABS(H671)&amp;" "&amp;E671&amp;" (QS giải trình &amp; duyệt sửa BOQ)")),"")</f>
        <v/>
      </c>
    </row>
    <row r="672" ht="15.6" customHeight="1" s="75">
      <c r="A672" s="58" t="inlineStr">
        <is>
          <t>DHKK-C-III.3.2.20</t>
        </is>
      </c>
      <c r="B672" s="24" t="n"/>
      <c r="C672" s="99" t="inlineStr">
        <is>
          <t>Ống 1150x300 L600</t>
        </is>
      </c>
      <c r="D672" s="61" t="inlineStr">
        <is>
          <t>Cái</t>
        </is>
      </c>
      <c r="E672" s="61" t="inlineStr">
        <is>
          <t>Cái</t>
        </is>
      </c>
      <c r="F672" s="88" t="n">
        <v>1</v>
      </c>
      <c r="G672" s="88" t="n">
        <v>1</v>
      </c>
      <c r="H672" s="42">
        <f>IF(OR(ISNUMBER(F672),ISNUMBER(G672)),N(F672)-N(G672),"")</f>
        <v/>
      </c>
      <c r="I672" s="137" t="n"/>
      <c r="J672" s="117">
        <f>IF(OR(ISNUMBER(F672),ISNUMBER(G672)),IF(ISBLANK(G672),"⚠️ Chưa bóc tách định mức",IF(H672&gt;=0,"✅ OK - Cho phép đặt hàng","❌ CHẶN ĐẶT HÀNG - CẦN BẢO VỆ KL")),"")</f>
        <v/>
      </c>
      <c r="K672" s="138">
        <f>IF(OR(ISNUMBER(F672),ISNUMBER(G672)),IF(ISBLANK(G672),"Kỹ sư/Thầu phụ cần bóc tách KL bản vẽ",IF(H672&gt;=0,"Được đặt hàng tối đa "&amp;G672&amp;" "&amp;E672,"Vượt dự toán "&amp;ABS(H672)&amp;" "&amp;E672&amp;" (QS giải trình &amp; duyệt sửa BOQ)")),"")</f>
        <v/>
      </c>
    </row>
    <row r="673" ht="15.6" customHeight="1" s="75">
      <c r="A673" s="58" t="inlineStr">
        <is>
          <t>DHKK-C-III.3.2.21</t>
        </is>
      </c>
      <c r="B673" s="24" t="n"/>
      <c r="C673" s="99" t="inlineStr">
        <is>
          <t>Ống 1150x300 L900</t>
        </is>
      </c>
      <c r="D673" s="61" t="inlineStr">
        <is>
          <t>Cái</t>
        </is>
      </c>
      <c r="E673" s="61" t="inlineStr">
        <is>
          <t>Cái</t>
        </is>
      </c>
      <c r="F673" s="88" t="n">
        <v>1</v>
      </c>
      <c r="G673" s="88" t="n">
        <v>1</v>
      </c>
      <c r="H673" s="42">
        <f>IF(OR(ISNUMBER(F673),ISNUMBER(G673)),N(F673)-N(G673),"")</f>
        <v/>
      </c>
      <c r="I673" s="137" t="n"/>
      <c r="J673" s="117">
        <f>IF(OR(ISNUMBER(F673),ISNUMBER(G673)),IF(ISBLANK(G673),"⚠️ Chưa bóc tách định mức",IF(H673&gt;=0,"✅ OK - Cho phép đặt hàng","❌ CHẶN ĐẶT HÀNG - CẦN BẢO VỆ KL")),"")</f>
        <v/>
      </c>
      <c r="K673" s="138">
        <f>IF(OR(ISNUMBER(F673),ISNUMBER(G673)),IF(ISBLANK(G673),"Kỹ sư/Thầu phụ cần bóc tách KL bản vẽ",IF(H673&gt;=0,"Được đặt hàng tối đa "&amp;G673&amp;" "&amp;E673,"Vượt dự toán "&amp;ABS(H673)&amp;" "&amp;E673&amp;" (QS giải trình &amp; duyệt sửa BOQ)")),"")</f>
        <v/>
      </c>
    </row>
    <row r="674" ht="15.6" customHeight="1" s="75">
      <c r="A674" s="58" t="inlineStr">
        <is>
          <t>DHKK-C-III.3.2.22</t>
        </is>
      </c>
      <c r="B674" s="24" t="n"/>
      <c r="C674" s="99" t="inlineStr">
        <is>
          <t>Co 90 300x1150 R150</t>
        </is>
      </c>
      <c r="D674" s="61" t="inlineStr">
        <is>
          <t>Cái</t>
        </is>
      </c>
      <c r="E674" s="61" t="inlineStr">
        <is>
          <t>Cái</t>
        </is>
      </c>
      <c r="F674" s="88" t="n">
        <v>1</v>
      </c>
      <c r="G674" s="88" t="n">
        <v>1</v>
      </c>
      <c r="H674" s="42">
        <f>IF(OR(ISNUMBER(F674),ISNUMBER(G674)),N(F674)-N(G674),"")</f>
        <v/>
      </c>
      <c r="I674" s="137" t="n"/>
      <c r="J674" s="117">
        <f>IF(OR(ISNUMBER(F674),ISNUMBER(G674)),IF(ISBLANK(G674),"⚠️ Chưa bóc tách định mức",IF(H674&gt;=0,"✅ OK - Cho phép đặt hàng","❌ CHẶN ĐẶT HÀNG - CẦN BẢO VỆ KL")),"")</f>
        <v/>
      </c>
      <c r="K674" s="138">
        <f>IF(OR(ISNUMBER(F674),ISNUMBER(G674)),IF(ISBLANK(G674),"Kỹ sư/Thầu phụ cần bóc tách KL bản vẽ",IF(H674&gt;=0,"Được đặt hàng tối đa "&amp;G674&amp;" "&amp;E674,"Vượt dự toán "&amp;ABS(H674)&amp;" "&amp;E674&amp;" (QS giải trình &amp; duyệt sửa BOQ)")),"")</f>
        <v/>
      </c>
    </row>
    <row r="675" ht="15.6" customHeight="1" s="75">
      <c r="A675" s="58" t="inlineStr">
        <is>
          <t>DHKK-C-III.3.2.23</t>
        </is>
      </c>
      <c r="B675" s="24" t="n"/>
      <c r="C675" s="101" t="inlineStr">
        <is>
          <t>Lượn 600*1200 E50 L270</t>
        </is>
      </c>
      <c r="D675" s="61" t="inlineStr">
        <is>
          <t>Cái</t>
        </is>
      </c>
      <c r="E675" s="61" t="inlineStr">
        <is>
          <t>Cái</t>
        </is>
      </c>
      <c r="F675" s="88" t="n">
        <v>1</v>
      </c>
      <c r="G675" s="85" t="n">
        <v>1</v>
      </c>
      <c r="H675" s="42">
        <f>IF(OR(ISNUMBER(F675),ISNUMBER(G675)),N(F675)-N(G675),"")</f>
        <v/>
      </c>
      <c r="I675" s="137" t="n"/>
      <c r="J675" s="117">
        <f>IF(OR(ISNUMBER(F675),ISNUMBER(G675)),IF(ISBLANK(G675),"⚠️ Chưa bóc tách định mức",IF(H675&gt;=0,"✅ OK - Cho phép đặt hàng","❌ CHẶN ĐẶT HÀNG - CẦN BẢO VỆ KL")),"")</f>
        <v/>
      </c>
      <c r="K675" s="138">
        <f>IF(OR(ISNUMBER(F675),ISNUMBER(G675)),IF(ISBLANK(G675),"Kỹ sư/Thầu phụ cần bóc tách KL bản vẽ",IF(H675&gt;=0,"Được đặt hàng tối đa "&amp;G675&amp;" "&amp;E675,"Vượt dự toán "&amp;ABS(H675)&amp;" "&amp;E675&amp;" (QS giải trình &amp; duyệt sửa BOQ)")),"")</f>
        <v/>
      </c>
    </row>
    <row r="676" ht="15.6" customHeight="1" s="75">
      <c r="A676" s="58" t="inlineStr">
        <is>
          <t>DHKK-C-III.3.2.24</t>
        </is>
      </c>
      <c r="B676" s="24" t="n"/>
      <c r="C676" s="101" t="inlineStr">
        <is>
          <t>Lượn 600*1200 E50 L150</t>
        </is>
      </c>
      <c r="D676" s="61" t="inlineStr">
        <is>
          <t>Cái</t>
        </is>
      </c>
      <c r="E676" s="61" t="inlineStr">
        <is>
          <t>Cái</t>
        </is>
      </c>
      <c r="F676" s="88" t="n">
        <v>1</v>
      </c>
      <c r="G676" s="85" t="n">
        <v>1</v>
      </c>
      <c r="H676" s="42">
        <f>IF(OR(ISNUMBER(F676),ISNUMBER(G676)),N(F676)-N(G676),"")</f>
        <v/>
      </c>
      <c r="I676" s="137" t="n"/>
      <c r="J676" s="117">
        <f>IF(OR(ISNUMBER(F676),ISNUMBER(G676)),IF(ISBLANK(G676),"⚠️ Chưa bóc tách định mức",IF(H676&gt;=0,"✅ OK - Cho phép đặt hàng","❌ CHẶN ĐẶT HÀNG - CẦN BẢO VỆ KL")),"")</f>
        <v/>
      </c>
      <c r="K676" s="138">
        <f>IF(OR(ISNUMBER(F676),ISNUMBER(G676)),IF(ISBLANK(G676),"Kỹ sư/Thầu phụ cần bóc tách KL bản vẽ",IF(H676&gt;=0,"Được đặt hàng tối đa "&amp;G676&amp;" "&amp;E676,"Vượt dự toán "&amp;ABS(H676)&amp;" "&amp;E676&amp;" (QS giải trình &amp; duyệt sửa BOQ)")),"")</f>
        <v/>
      </c>
    </row>
    <row r="677" ht="15.6" customHeight="1" s="75">
      <c r="A677" s="58" t="inlineStr">
        <is>
          <t>DHKK-C-III.3.2.25</t>
        </is>
      </c>
      <c r="B677" s="24" t="n"/>
      <c r="C677" s="99" t="inlineStr">
        <is>
          <t>Ống bít đầu 650x750 L50</t>
        </is>
      </c>
      <c r="D677" s="61" t="inlineStr">
        <is>
          <t>Cái</t>
        </is>
      </c>
      <c r="E677" s="61" t="inlineStr">
        <is>
          <t>Cái</t>
        </is>
      </c>
      <c r="F677" s="88" t="n">
        <v>2</v>
      </c>
      <c r="G677" s="88" t="n">
        <v>2</v>
      </c>
      <c r="H677" s="42">
        <f>IF(OR(ISNUMBER(F677),ISNUMBER(G677)),N(F677)-N(G677),"")</f>
        <v/>
      </c>
      <c r="I677" s="137" t="n"/>
      <c r="J677" s="117">
        <f>IF(OR(ISNUMBER(F677),ISNUMBER(G677)),IF(ISBLANK(G677),"⚠️ Chưa bóc tách định mức",IF(H677&gt;=0,"✅ OK - Cho phép đặt hàng","❌ CHẶN ĐẶT HÀNG - CẦN BẢO VỆ KL")),"")</f>
        <v/>
      </c>
      <c r="K677" s="138">
        <f>IF(OR(ISNUMBER(F677),ISNUMBER(G677)),IF(ISBLANK(G677),"Kỹ sư/Thầu phụ cần bóc tách KL bản vẽ",IF(H677&gt;=0,"Được đặt hàng tối đa "&amp;G677&amp;" "&amp;E677,"Vượt dự toán "&amp;ABS(H677)&amp;" "&amp;E677&amp;" (QS giải trình &amp; duyệt sửa BOQ)")),"")</f>
        <v/>
      </c>
    </row>
    <row r="678" ht="15.6" customHeight="1" s="75">
      <c r="A678" s="58" t="inlineStr">
        <is>
          <t>DHKK-C-III.3.2.26</t>
        </is>
      </c>
      <c r="B678" s="24" t="n"/>
      <c r="C678" s="99" t="inlineStr">
        <is>
          <t>Ống bít đầu 1100x400 L50</t>
        </is>
      </c>
      <c r="D678" s="61" t="inlineStr">
        <is>
          <t>Cái</t>
        </is>
      </c>
      <c r="E678" s="61" t="inlineStr">
        <is>
          <t>Cái</t>
        </is>
      </c>
      <c r="F678" s="88" t="n">
        <v>2</v>
      </c>
      <c r="G678" s="88" t="n">
        <v>2</v>
      </c>
      <c r="H678" s="42">
        <f>IF(OR(ISNUMBER(F678),ISNUMBER(G678)),N(F678)-N(G678),"")</f>
        <v/>
      </c>
      <c r="I678" s="137" t="n"/>
      <c r="J678" s="117">
        <f>IF(OR(ISNUMBER(F678),ISNUMBER(G678)),IF(ISBLANK(G678),"⚠️ Chưa bóc tách định mức",IF(H678&gt;=0,"✅ OK - Cho phép đặt hàng","❌ CHẶN ĐẶT HÀNG - CẦN BẢO VỆ KL")),"")</f>
        <v/>
      </c>
      <c r="K678" s="138">
        <f>IF(OR(ISNUMBER(F678),ISNUMBER(G678)),IF(ISBLANK(G678),"Kỹ sư/Thầu phụ cần bóc tách KL bản vẽ",IF(H678&gt;=0,"Được đặt hàng tối đa "&amp;G678&amp;" "&amp;E678,"Vượt dự toán "&amp;ABS(H678)&amp;" "&amp;E678&amp;" (QS giải trình &amp; duyệt sửa BOQ)")),"")</f>
        <v/>
      </c>
    </row>
    <row r="679" ht="15.6" customHeight="1" s="75">
      <c r="A679" s="58" t="inlineStr">
        <is>
          <t>DHKK-C-III.3.2.27</t>
        </is>
      </c>
      <c r="B679" s="24" t="n"/>
      <c r="C679" s="99" t="inlineStr">
        <is>
          <t>Ống bít đầu 950x700 L50</t>
        </is>
      </c>
      <c r="D679" s="61" t="inlineStr">
        <is>
          <t>Cái</t>
        </is>
      </c>
      <c r="E679" s="61" t="inlineStr">
        <is>
          <t>Cái</t>
        </is>
      </c>
      <c r="F679" s="88" t="n">
        <v>2</v>
      </c>
      <c r="G679" s="88" t="n">
        <v>2</v>
      </c>
      <c r="H679" s="42">
        <f>IF(OR(ISNUMBER(F679),ISNUMBER(G679)),N(F679)-N(G679),"")</f>
        <v/>
      </c>
      <c r="I679" s="137" t="n"/>
      <c r="J679" s="117">
        <f>IF(OR(ISNUMBER(F679),ISNUMBER(G679)),IF(ISBLANK(G679),"⚠️ Chưa bóc tách định mức",IF(H679&gt;=0,"✅ OK - Cho phép đặt hàng","❌ CHẶN ĐẶT HÀNG - CẦN BẢO VỆ KL")),"")</f>
        <v/>
      </c>
      <c r="K679" s="138">
        <f>IF(OR(ISNUMBER(F679),ISNUMBER(G679)),IF(ISBLANK(G679),"Kỹ sư/Thầu phụ cần bóc tách KL bản vẽ",IF(H679&gt;=0,"Được đặt hàng tối đa "&amp;G679&amp;" "&amp;E679,"Vượt dự toán "&amp;ABS(H679)&amp;" "&amp;E679&amp;" (QS giải trình &amp; duyệt sửa BOQ)")),"")</f>
        <v/>
      </c>
    </row>
    <row r="680" ht="15.6" customHeight="1" s="75">
      <c r="A680" s="58" t="inlineStr">
        <is>
          <t>DHKK-C-III.3.2.28</t>
        </is>
      </c>
      <c r="B680" s="24" t="n"/>
      <c r="C680" s="99" t="inlineStr">
        <is>
          <t>Ống bít đầu 1150x400 L50</t>
        </is>
      </c>
      <c r="D680" s="61" t="inlineStr">
        <is>
          <t>Cái</t>
        </is>
      </c>
      <c r="E680" s="61" t="inlineStr">
        <is>
          <t>Cái</t>
        </is>
      </c>
      <c r="F680" s="88" t="n">
        <v>2</v>
      </c>
      <c r="G680" s="88" t="n">
        <v>2</v>
      </c>
      <c r="H680" s="42">
        <f>IF(OR(ISNUMBER(F680),ISNUMBER(G680)),N(F680)-N(G680),"")</f>
        <v/>
      </c>
      <c r="I680" s="137" t="n"/>
      <c r="J680" s="117">
        <f>IF(OR(ISNUMBER(F680),ISNUMBER(G680)),IF(ISBLANK(G680),"⚠️ Chưa bóc tách định mức",IF(H680&gt;=0,"✅ OK - Cho phép đặt hàng","❌ CHẶN ĐẶT HÀNG - CẦN BẢO VỆ KL")),"")</f>
        <v/>
      </c>
      <c r="K680" s="138">
        <f>IF(OR(ISNUMBER(F680),ISNUMBER(G680)),IF(ISBLANK(G680),"Kỹ sư/Thầu phụ cần bóc tách KL bản vẽ",IF(H680&gt;=0,"Được đặt hàng tối đa "&amp;G680&amp;" "&amp;E680,"Vượt dự toán "&amp;ABS(H680)&amp;" "&amp;E680&amp;" (QS giải trình &amp; duyệt sửa BOQ)")),"")</f>
        <v/>
      </c>
    </row>
    <row r="681" ht="15.6" customHeight="1" s="75">
      <c r="A681" s="58" t="inlineStr">
        <is>
          <t>DHKK-C-III.3.2.29</t>
        </is>
      </c>
      <c r="B681" s="24" t="n"/>
      <c r="C681" s="99" t="inlineStr">
        <is>
          <t>Ống bít đầu 1100X750 L50</t>
        </is>
      </c>
      <c r="D681" s="61" t="inlineStr">
        <is>
          <t>Cái</t>
        </is>
      </c>
      <c r="E681" s="61" t="inlineStr">
        <is>
          <t>Cái</t>
        </is>
      </c>
      <c r="F681" s="88" t="n">
        <v>2</v>
      </c>
      <c r="G681" s="88" t="n">
        <v>2</v>
      </c>
      <c r="H681" s="42">
        <f>IF(OR(ISNUMBER(F681),ISNUMBER(G681)),N(F681)-N(G681),"")</f>
        <v/>
      </c>
      <c r="I681" s="137" t="n"/>
      <c r="J681" s="117">
        <f>IF(OR(ISNUMBER(F681),ISNUMBER(G681)),IF(ISBLANK(G681),"⚠️ Chưa bóc tách định mức",IF(H681&gt;=0,"✅ OK - Cho phép đặt hàng","❌ CHẶN ĐẶT HÀNG - CẦN BẢO VỆ KL")),"")</f>
        <v/>
      </c>
      <c r="K681" s="138">
        <f>IF(OR(ISNUMBER(F681),ISNUMBER(G681)),IF(ISBLANK(G681),"Kỹ sư/Thầu phụ cần bóc tách KL bản vẽ",IF(H681&gt;=0,"Được đặt hàng tối đa "&amp;G681&amp;" "&amp;E681,"Vượt dự toán "&amp;ABS(H681)&amp;" "&amp;E681&amp;" (QS giải trình &amp; duyệt sửa BOQ)")),"")</f>
        <v/>
      </c>
    </row>
    <row r="682" ht="15.6" customHeight="1" s="75">
      <c r="A682" s="58" t="inlineStr">
        <is>
          <t>DHKK-C-III.3.2.30</t>
        </is>
      </c>
      <c r="B682" s="24" t="n"/>
      <c r="C682" s="99" t="inlineStr">
        <is>
          <t>Ống bít đầu 700X250 L50</t>
        </is>
      </c>
      <c r="D682" s="61" t="inlineStr">
        <is>
          <t>Cái</t>
        </is>
      </c>
      <c r="E682" s="61" t="inlineStr">
        <is>
          <t>Cái</t>
        </is>
      </c>
      <c r="F682" s="88" t="n">
        <v>2</v>
      </c>
      <c r="G682" s="88" t="n">
        <v>2</v>
      </c>
      <c r="H682" s="42">
        <f>IF(OR(ISNUMBER(F682),ISNUMBER(G682)),N(F682)-N(G682),"")</f>
        <v/>
      </c>
      <c r="I682" s="137" t="n"/>
      <c r="J682" s="117">
        <f>IF(OR(ISNUMBER(F682),ISNUMBER(G682)),IF(ISBLANK(G682),"⚠️ Chưa bóc tách định mức",IF(H682&gt;=0,"✅ OK - Cho phép đặt hàng","❌ CHẶN ĐẶT HÀNG - CẦN BẢO VỆ KL")),"")</f>
        <v/>
      </c>
      <c r="K682" s="138">
        <f>IF(OR(ISNUMBER(F682),ISNUMBER(G682)),IF(ISBLANK(G682),"Kỹ sư/Thầu phụ cần bóc tách KL bản vẽ",IF(H682&gt;=0,"Được đặt hàng tối đa "&amp;G682&amp;" "&amp;E682,"Vượt dự toán "&amp;ABS(H682)&amp;" "&amp;E682&amp;" (QS giải trình &amp; duyệt sửa BOQ)")),"")</f>
        <v/>
      </c>
    </row>
    <row r="683" ht="15.6" customHeight="1" s="75">
      <c r="A683" s="58" t="inlineStr">
        <is>
          <t>DHKK-C-III.3.2.31</t>
        </is>
      </c>
      <c r="B683" s="24" t="n"/>
      <c r="C683" s="99" t="inlineStr">
        <is>
          <t>Ống bít đầu 1200X700 L50</t>
        </is>
      </c>
      <c r="D683" s="61" t="inlineStr">
        <is>
          <t>Cái</t>
        </is>
      </c>
      <c r="E683" s="61" t="inlineStr">
        <is>
          <t>Cái</t>
        </is>
      </c>
      <c r="F683" s="88" t="n">
        <v>2</v>
      </c>
      <c r="G683" s="88" t="n">
        <v>2</v>
      </c>
      <c r="H683" s="42">
        <f>IF(OR(ISNUMBER(F683),ISNUMBER(G683)),N(F683)-N(G683),"")</f>
        <v/>
      </c>
      <c r="I683" s="137" t="n"/>
      <c r="J683" s="117">
        <f>IF(OR(ISNUMBER(F683),ISNUMBER(G683)),IF(ISBLANK(G683),"⚠️ Chưa bóc tách định mức",IF(H683&gt;=0,"✅ OK - Cho phép đặt hàng","❌ CHẶN ĐẶT HÀNG - CẦN BẢO VỆ KL")),"")</f>
        <v/>
      </c>
      <c r="K683" s="138">
        <f>IF(OR(ISNUMBER(F683),ISNUMBER(G683)),IF(ISBLANK(G683),"Kỹ sư/Thầu phụ cần bóc tách KL bản vẽ",IF(H683&gt;=0,"Được đặt hàng tối đa "&amp;G683&amp;" "&amp;E683,"Vượt dự toán "&amp;ABS(H683)&amp;" "&amp;E683&amp;" (QS giải trình &amp; duyệt sửa BOQ)")),"")</f>
        <v/>
      </c>
    </row>
    <row r="684" ht="15.6" customHeight="1" s="75">
      <c r="A684" s="58" t="inlineStr">
        <is>
          <t>DHKK-C-III.3.2.32</t>
        </is>
      </c>
      <c r="B684" s="24" t="n"/>
      <c r="C684" s="99" t="inlineStr">
        <is>
          <t>Ống bít đầu 1200X600 L50</t>
        </is>
      </c>
      <c r="D684" s="61" t="inlineStr">
        <is>
          <t>Cái</t>
        </is>
      </c>
      <c r="E684" s="61" t="inlineStr">
        <is>
          <t>Cái</t>
        </is>
      </c>
      <c r="F684" s="88" t="n">
        <v>4</v>
      </c>
      <c r="G684" s="88" t="n">
        <v>4</v>
      </c>
      <c r="H684" s="42">
        <f>IF(OR(ISNUMBER(F684),ISNUMBER(G684)),N(F684)-N(G684),"")</f>
        <v/>
      </c>
      <c r="I684" s="137" t="n"/>
      <c r="J684" s="117">
        <f>IF(OR(ISNUMBER(F684),ISNUMBER(G684)),IF(ISBLANK(G684),"⚠️ Chưa bóc tách định mức",IF(H684&gt;=0,"✅ OK - Cho phép đặt hàng","❌ CHẶN ĐẶT HÀNG - CẦN BẢO VỆ KL")),"")</f>
        <v/>
      </c>
      <c r="K684" s="138">
        <f>IF(OR(ISNUMBER(F684),ISNUMBER(G684)),IF(ISBLANK(G684),"Kỹ sư/Thầu phụ cần bóc tách KL bản vẽ",IF(H684&gt;=0,"Được đặt hàng tối đa "&amp;G684&amp;" "&amp;E684,"Vượt dự toán "&amp;ABS(H684)&amp;" "&amp;E684&amp;" (QS giải trình &amp; duyệt sửa BOQ)")),"")</f>
        <v/>
      </c>
    </row>
    <row r="685" ht="15.6" customHeight="1" s="75">
      <c r="A685" s="58" t="inlineStr">
        <is>
          <t>DHKK-C-III.3.2.33</t>
        </is>
      </c>
      <c r="B685" s="24" t="n"/>
      <c r="C685" s="99" t="inlineStr">
        <is>
          <t>Ống bít đầu 1300X700 L50</t>
        </is>
      </c>
      <c r="D685" s="61" t="inlineStr">
        <is>
          <t>Cái</t>
        </is>
      </c>
      <c r="E685" s="61" t="inlineStr">
        <is>
          <t>Cái</t>
        </is>
      </c>
      <c r="F685" s="88" t="n">
        <v>2</v>
      </c>
      <c r="G685" s="88" t="n">
        <v>2</v>
      </c>
      <c r="H685" s="42">
        <f>IF(OR(ISNUMBER(F685),ISNUMBER(G685)),N(F685)-N(G685),"")</f>
        <v/>
      </c>
      <c r="I685" s="137" t="n"/>
      <c r="J685" s="117">
        <f>IF(OR(ISNUMBER(F685),ISNUMBER(G685)),IF(ISBLANK(G685),"⚠️ Chưa bóc tách định mức",IF(H685&gt;=0,"✅ OK - Cho phép đặt hàng","❌ CHẶN ĐẶT HÀNG - CẦN BẢO VỆ KL")),"")</f>
        <v/>
      </c>
      <c r="K685" s="138">
        <f>IF(OR(ISNUMBER(F685),ISNUMBER(G685)),IF(ISBLANK(G685),"Kỹ sư/Thầu phụ cần bóc tách KL bản vẽ",IF(H685&gt;=0,"Được đặt hàng tối đa "&amp;G685&amp;" "&amp;E685,"Vượt dự toán "&amp;ABS(H685)&amp;" "&amp;E685&amp;" (QS giải trình &amp; duyệt sửa BOQ)")),"")</f>
        <v/>
      </c>
    </row>
    <row r="686" ht="15.6" customHeight="1" s="75">
      <c r="A686" s="58" t="inlineStr">
        <is>
          <t>DHKK-C-III.3.2.34</t>
        </is>
      </c>
      <c r="B686" s="24" t="n"/>
      <c r="C686" s="99" t="inlineStr">
        <is>
          <t>Ống bít đầu 1350X550 L50</t>
        </is>
      </c>
      <c r="D686" s="61" t="inlineStr">
        <is>
          <t>Cái</t>
        </is>
      </c>
      <c r="E686" s="61" t="inlineStr">
        <is>
          <t>Cái</t>
        </is>
      </c>
      <c r="F686" s="88" t="n">
        <v>2</v>
      </c>
      <c r="G686" s="88" t="n">
        <v>2</v>
      </c>
      <c r="H686" s="42">
        <f>IF(OR(ISNUMBER(F686),ISNUMBER(G686)),N(F686)-N(G686),"")</f>
        <v/>
      </c>
      <c r="I686" s="137" t="n"/>
      <c r="J686" s="117">
        <f>IF(OR(ISNUMBER(F686),ISNUMBER(G686)),IF(ISBLANK(G686),"⚠️ Chưa bóc tách định mức",IF(H686&gt;=0,"✅ OK - Cho phép đặt hàng","❌ CHẶN ĐẶT HÀNG - CẦN BẢO VỆ KL")),"")</f>
        <v/>
      </c>
      <c r="K686" s="138">
        <f>IF(OR(ISNUMBER(F686),ISNUMBER(G686)),IF(ISBLANK(G686),"Kỹ sư/Thầu phụ cần bóc tách KL bản vẽ",IF(H686&gt;=0,"Được đặt hàng tối đa "&amp;G686&amp;" "&amp;E686,"Vượt dự toán "&amp;ABS(H686)&amp;" "&amp;E686&amp;" (QS giải trình &amp; duyệt sửa BOQ)")),"")</f>
        <v/>
      </c>
    </row>
    <row r="687" ht="15.6" customHeight="1" s="75">
      <c r="A687" s="58" t="inlineStr">
        <is>
          <t>DHKK-C-III.3.2.35</t>
        </is>
      </c>
      <c r="B687" s="24" t="n"/>
      <c r="C687" s="99" t="inlineStr">
        <is>
          <t>Ống bít đầu 1600X300 L50</t>
        </is>
      </c>
      <c r="D687" s="61" t="inlineStr">
        <is>
          <t>Cái</t>
        </is>
      </c>
      <c r="E687" s="61" t="inlineStr">
        <is>
          <t>Cái</t>
        </is>
      </c>
      <c r="F687" s="88" t="n">
        <v>2</v>
      </c>
      <c r="G687" s="88" t="n">
        <v>2</v>
      </c>
      <c r="H687" s="42">
        <f>IF(OR(ISNUMBER(F687),ISNUMBER(G687)),N(F687)-N(G687),"")</f>
        <v/>
      </c>
      <c r="I687" s="137" t="n"/>
      <c r="J687" s="117">
        <f>IF(OR(ISNUMBER(F687),ISNUMBER(G687)),IF(ISBLANK(G687),"⚠️ Chưa bóc tách định mức",IF(H687&gt;=0,"✅ OK - Cho phép đặt hàng","❌ CHẶN ĐẶT HÀNG - CẦN BẢO VỆ KL")),"")</f>
        <v/>
      </c>
      <c r="K687" s="138">
        <f>IF(OR(ISNUMBER(F687),ISNUMBER(G687)),IF(ISBLANK(G687),"Kỹ sư/Thầu phụ cần bóc tách KL bản vẽ",IF(H687&gt;=0,"Được đặt hàng tối đa "&amp;G687&amp;" "&amp;E687,"Vượt dự toán "&amp;ABS(H687)&amp;" "&amp;E687&amp;" (QS giải trình &amp; duyệt sửa BOQ)")),"")</f>
        <v/>
      </c>
    </row>
    <row r="688" ht="15.6" customHeight="1" s="75">
      <c r="A688" s="58" t="inlineStr">
        <is>
          <t>DHKK-C-III.30F-</t>
        </is>
      </c>
      <c r="B688" s="24" t="n"/>
      <c r="C688" s="101" t="inlineStr">
        <is>
          <t>Ống Trục Tầng 30F-RF</t>
        </is>
      </c>
      <c r="D688" s="61" t="inlineStr">
        <is>
          <t>Cái</t>
        </is>
      </c>
      <c r="E688" s="61" t="inlineStr">
        <is>
          <t>Cái</t>
        </is>
      </c>
      <c r="F688" s="85" t="n"/>
      <c r="G688" s="85" t="n"/>
      <c r="H688" s="44">
        <f>IF(OR(ISNUMBER(F688),ISNUMBER(G688)),N(F688)-N(G688),"")</f>
        <v/>
      </c>
      <c r="I688" s="137" t="n"/>
      <c r="J688" s="117">
        <f>IF(OR(ISNUMBER(F688),ISNUMBER(G688)),IF(ISBLANK(G688),"⚠️ Chưa bóc tách định mức",IF(H688&gt;=0,"✅ OK - Cho phép đặt hàng","❌ CHẶN ĐẶT HÀNG - CẦN BẢO VỆ KL")),"")</f>
        <v/>
      </c>
      <c r="K688" s="138">
        <f>IF(OR(ISNUMBER(F688),ISNUMBER(G688)),IF(ISBLANK(G688),"Kỹ sư/Thầu phụ cần bóc tách KL bản vẽ",IF(H688&gt;=0,"Được đặt hàng tối đa "&amp;G688&amp;" "&amp;E688,"Vượt dự toán "&amp;ABS(H688)&amp;" "&amp;E688&amp;" (QS giải trình &amp; duyệt sửa BOQ)")),"")</f>
        <v/>
      </c>
    </row>
    <row r="689" ht="15.6" customHeight="1" s="75">
      <c r="A689" s="58" t="inlineStr">
        <is>
          <t>DHKK-C-III.3.2.36</t>
        </is>
      </c>
      <c r="B689" s="24" t="n"/>
      <c r="C689" s="98" t="inlineStr">
        <is>
          <t>Ống 1200x600x L1110</t>
        </is>
      </c>
      <c r="D689" s="61" t="inlineStr">
        <is>
          <t>Cái</t>
        </is>
      </c>
      <c r="E689" s="61" t="inlineStr">
        <is>
          <t>Cái</t>
        </is>
      </c>
      <c r="F689" s="88" t="n">
        <v>16</v>
      </c>
      <c r="G689" s="85" t="n">
        <v>16</v>
      </c>
      <c r="H689" s="44">
        <f>IF(OR(ISNUMBER(F689),ISNUMBER(G689)),N(F689)-N(G689),"")</f>
        <v/>
      </c>
      <c r="I689" s="137" t="n"/>
      <c r="J689" s="117">
        <f>IF(OR(ISNUMBER(F689),ISNUMBER(G689)),IF(ISBLANK(G689),"⚠️ Chưa bóc tách định mức",IF(H689&gt;=0,"✅ OK - Cho phép đặt hàng","❌ CHẶN ĐẶT HÀNG - CẦN BẢO VỆ KL")),"")</f>
        <v/>
      </c>
      <c r="K689" s="138">
        <f>IF(OR(ISNUMBER(F689),ISNUMBER(G689)),IF(ISBLANK(G689),"Kỹ sư/Thầu phụ cần bóc tách KL bản vẽ",IF(H689&gt;=0,"Được đặt hàng tối đa "&amp;G689&amp;" "&amp;E689,"Vượt dự toán "&amp;ABS(H689)&amp;" "&amp;E689&amp;" (QS giải trình &amp; duyệt sửa BOQ)")),"")</f>
        <v/>
      </c>
    </row>
    <row r="690" ht="15.6" customHeight="1" s="75">
      <c r="A690" s="58" t="inlineStr">
        <is>
          <t>DHKK-C-III.3.2.37</t>
        </is>
      </c>
      <c r="B690" s="24" t="n"/>
      <c r="C690" s="98" t="inlineStr">
        <is>
          <t>Ống 1200x600x L900</t>
        </is>
      </c>
      <c r="D690" s="61" t="inlineStr">
        <is>
          <t>Cái</t>
        </is>
      </c>
      <c r="E690" s="61" t="inlineStr">
        <is>
          <t>Cái</t>
        </is>
      </c>
      <c r="F690" s="88" t="n">
        <v>1</v>
      </c>
      <c r="G690" s="85" t="n">
        <v>1</v>
      </c>
      <c r="H690" s="44">
        <f>IF(OR(ISNUMBER(F690),ISNUMBER(G690)),N(F690)-N(G690),"")</f>
        <v/>
      </c>
      <c r="I690" s="137" t="n"/>
      <c r="J690" s="117">
        <f>IF(OR(ISNUMBER(F690),ISNUMBER(G690)),IF(ISBLANK(G690),"⚠️ Chưa bóc tách định mức",IF(H690&gt;=0,"✅ OK - Cho phép đặt hàng","❌ CHẶN ĐẶT HÀNG - CẦN BẢO VỆ KL")),"")</f>
        <v/>
      </c>
      <c r="K690" s="138">
        <f>IF(OR(ISNUMBER(F690),ISNUMBER(G690)),IF(ISBLANK(G690),"Kỹ sư/Thầu phụ cần bóc tách KL bản vẽ",IF(H690&gt;=0,"Được đặt hàng tối đa "&amp;G690&amp;" "&amp;E690,"Vượt dự toán "&amp;ABS(H690)&amp;" "&amp;E690&amp;" (QS giải trình &amp; duyệt sửa BOQ)")),"")</f>
        <v/>
      </c>
    </row>
    <row r="691" ht="15.6" customHeight="1" s="75">
      <c r="A691" s="58" t="inlineStr">
        <is>
          <t>DHKK-C-III.3.2.38</t>
        </is>
      </c>
      <c r="B691" s="24" t="n"/>
      <c r="C691" s="98" t="inlineStr">
        <is>
          <t>Ống 1200x600x L250</t>
        </is>
      </c>
      <c r="D691" s="61" t="inlineStr">
        <is>
          <t>Cái</t>
        </is>
      </c>
      <c r="E691" s="61" t="inlineStr">
        <is>
          <t>Cái</t>
        </is>
      </c>
      <c r="F691" s="88" t="n">
        <v>2</v>
      </c>
      <c r="G691" s="85" t="n">
        <v>2</v>
      </c>
      <c r="H691" s="44">
        <f>IF(OR(ISNUMBER(F691),ISNUMBER(G691)),N(F691)-N(G691),"")</f>
        <v/>
      </c>
      <c r="I691" s="137" t="n"/>
      <c r="J691" s="117">
        <f>IF(OR(ISNUMBER(F691),ISNUMBER(G691)),IF(ISBLANK(G691),"⚠️ Chưa bóc tách định mức",IF(H691&gt;=0,"✅ OK - Cho phép đặt hàng","❌ CHẶN ĐẶT HÀNG - CẦN BẢO VỆ KL")),"")</f>
        <v/>
      </c>
      <c r="K691" s="138">
        <f>IF(OR(ISNUMBER(F691),ISNUMBER(G691)),IF(ISBLANK(G691),"Kỹ sư/Thầu phụ cần bóc tách KL bản vẽ",IF(H691&gt;=0,"Được đặt hàng tối đa "&amp;G691&amp;" "&amp;E691,"Vượt dự toán "&amp;ABS(H691)&amp;" "&amp;E691&amp;" (QS giải trình &amp; duyệt sửa BOQ)")),"")</f>
        <v/>
      </c>
    </row>
    <row r="692" ht="15.6" customHeight="1" s="75">
      <c r="A692" s="58" t="inlineStr">
        <is>
          <t>DHKK-C-III.3.2.39</t>
        </is>
      </c>
      <c r="B692" s="24" t="n"/>
      <c r="C692" s="98" t="inlineStr">
        <is>
          <t>Ống 1200x600x L</t>
        </is>
      </c>
      <c r="D692" s="61" t="inlineStr">
        <is>
          <t>Cái</t>
        </is>
      </c>
      <c r="E692" s="61" t="inlineStr">
        <is>
          <t>Cái</t>
        </is>
      </c>
      <c r="F692" s="88" t="n">
        <v>5</v>
      </c>
      <c r="G692" s="85" t="n">
        <v>5</v>
      </c>
      <c r="H692" s="44">
        <f>IF(OR(ISNUMBER(F692),ISNUMBER(G692)),N(F692)-N(G692),"")</f>
        <v/>
      </c>
      <c r="I692" s="137" t="n"/>
      <c r="J692" s="117">
        <f>IF(OR(ISNUMBER(F692),ISNUMBER(G692)),IF(ISBLANK(G692),"⚠️ Chưa bóc tách định mức",IF(H692&gt;=0,"✅ OK - Cho phép đặt hàng","❌ CHẶN ĐẶT HÀNG - CẦN BẢO VỆ KL")),"")</f>
        <v/>
      </c>
      <c r="K692" s="138">
        <f>IF(OR(ISNUMBER(F692),ISNUMBER(G692)),IF(ISBLANK(G692),"Kỹ sư/Thầu phụ cần bóc tách KL bản vẽ",IF(H692&gt;=0,"Được đặt hàng tối đa "&amp;G692&amp;" "&amp;E692,"Vượt dự toán "&amp;ABS(H692)&amp;" "&amp;E692&amp;" (QS giải trình &amp; duyệt sửa BOQ)")),"")</f>
        <v/>
      </c>
    </row>
    <row r="693" ht="15.6" customHeight="1" s="75">
      <c r="A693" s="58" t="inlineStr">
        <is>
          <t>DHKK-C-III.3.2.40</t>
        </is>
      </c>
      <c r="B693" s="24" t="n"/>
      <c r="C693" s="98" t="inlineStr">
        <is>
          <t>Ống 1150x400x L1110</t>
        </is>
      </c>
      <c r="D693" s="61" t="inlineStr">
        <is>
          <t>Cái</t>
        </is>
      </c>
      <c r="E693" s="61" t="inlineStr">
        <is>
          <t>Cái</t>
        </is>
      </c>
      <c r="F693" s="88" t="n">
        <v>8</v>
      </c>
      <c r="G693" s="85" t="n">
        <v>8</v>
      </c>
      <c r="H693" s="44">
        <f>IF(OR(ISNUMBER(F693),ISNUMBER(G693)),N(F693)-N(G693),"")</f>
        <v/>
      </c>
      <c r="I693" s="137" t="n"/>
      <c r="J693" s="117">
        <f>IF(OR(ISNUMBER(F693),ISNUMBER(G693)),IF(ISBLANK(G693),"⚠️ Chưa bóc tách định mức",IF(H693&gt;=0,"✅ OK - Cho phép đặt hàng","❌ CHẶN ĐẶT HÀNG - CẦN BẢO VỆ KL")),"")</f>
        <v/>
      </c>
      <c r="K693" s="138">
        <f>IF(OR(ISNUMBER(F693),ISNUMBER(G693)),IF(ISBLANK(G693),"Kỹ sư/Thầu phụ cần bóc tách KL bản vẽ",IF(H693&gt;=0,"Được đặt hàng tối đa "&amp;G693&amp;" "&amp;E693,"Vượt dự toán "&amp;ABS(H693)&amp;" "&amp;E693&amp;" (QS giải trình &amp; duyệt sửa BOQ)")),"")</f>
        <v/>
      </c>
    </row>
    <row r="694" ht="15.6" customHeight="1" s="75">
      <c r="A694" s="58" t="inlineStr">
        <is>
          <t>DHKK-C-III.3.2.41</t>
        </is>
      </c>
      <c r="B694" s="24" t="n"/>
      <c r="C694" s="98" t="inlineStr">
        <is>
          <t>Ống 1150x400x L500</t>
        </is>
      </c>
      <c r="D694" s="61" t="inlineStr">
        <is>
          <t>Cái</t>
        </is>
      </c>
      <c r="E694" s="61" t="inlineStr">
        <is>
          <t>Cái</t>
        </is>
      </c>
      <c r="F694" s="88" t="n">
        <v>1</v>
      </c>
      <c r="G694" s="85" t="n">
        <v>1</v>
      </c>
      <c r="H694" s="44">
        <f>IF(OR(ISNUMBER(F694),ISNUMBER(G694)),N(F694)-N(G694),"")</f>
        <v/>
      </c>
      <c r="I694" s="137" t="n"/>
      <c r="J694" s="117">
        <f>IF(OR(ISNUMBER(F694),ISNUMBER(G694)),IF(ISBLANK(G694),"⚠️ Chưa bóc tách định mức",IF(H694&gt;=0,"✅ OK - Cho phép đặt hàng","❌ CHẶN ĐẶT HÀNG - CẦN BẢO VỆ KL")),"")</f>
        <v/>
      </c>
      <c r="K694" s="138">
        <f>IF(OR(ISNUMBER(F694),ISNUMBER(G694)),IF(ISBLANK(G694),"Kỹ sư/Thầu phụ cần bóc tách KL bản vẽ",IF(H694&gt;=0,"Được đặt hàng tối đa "&amp;G694&amp;" "&amp;E694,"Vượt dự toán "&amp;ABS(H694)&amp;" "&amp;E694&amp;" (QS giải trình &amp; duyệt sửa BOQ)")),"")</f>
        <v/>
      </c>
    </row>
    <row r="695" ht="15.6" customHeight="1" s="75">
      <c r="A695" s="58" t="inlineStr">
        <is>
          <t>DHKK-C-III.3.2.42</t>
        </is>
      </c>
      <c r="B695" s="24" t="n"/>
      <c r="C695" s="98" t="inlineStr">
        <is>
          <t>Ống 1150x400x L350</t>
        </is>
      </c>
      <c r="D695" s="61" t="inlineStr">
        <is>
          <t>Cái</t>
        </is>
      </c>
      <c r="E695" s="61" t="inlineStr">
        <is>
          <t>Cái</t>
        </is>
      </c>
      <c r="F695" s="88" t="n">
        <v>1</v>
      </c>
      <c r="G695" s="85" t="n">
        <v>1</v>
      </c>
      <c r="H695" s="44">
        <f>IF(OR(ISNUMBER(F695),ISNUMBER(G695)),N(F695)-N(G695),"")</f>
        <v/>
      </c>
      <c r="I695" s="137" t="n"/>
      <c r="J695" s="117">
        <f>IF(OR(ISNUMBER(F695),ISNUMBER(G695)),IF(ISBLANK(G695),"⚠️ Chưa bóc tách định mức",IF(H695&gt;=0,"✅ OK - Cho phép đặt hàng","❌ CHẶN ĐẶT HÀNG - CẦN BẢO VỆ KL")),"")</f>
        <v/>
      </c>
      <c r="K695" s="138">
        <f>IF(OR(ISNUMBER(F695),ISNUMBER(G695)),IF(ISBLANK(G695),"Kỹ sư/Thầu phụ cần bóc tách KL bản vẽ",IF(H695&gt;=0,"Được đặt hàng tối đa "&amp;G695&amp;" "&amp;E695,"Vượt dự toán "&amp;ABS(H695)&amp;" "&amp;E695&amp;" (QS giải trình &amp; duyệt sửa BOQ)")),"")</f>
        <v/>
      </c>
    </row>
    <row r="696" ht="15.6" customHeight="1" s="75">
      <c r="A696" s="58" t="inlineStr">
        <is>
          <t>DHKK-C-III.3.2.43</t>
        </is>
      </c>
      <c r="B696" s="24" t="n"/>
      <c r="C696" s="98" t="inlineStr">
        <is>
          <t>Ống 1150x400x L</t>
        </is>
      </c>
      <c r="D696" s="61" t="inlineStr">
        <is>
          <t>Cái</t>
        </is>
      </c>
      <c r="E696" s="61" t="inlineStr">
        <is>
          <t>Cái</t>
        </is>
      </c>
      <c r="F696" s="88" t="n">
        <v>2</v>
      </c>
      <c r="G696" s="85" t="n">
        <v>2</v>
      </c>
      <c r="H696" s="44">
        <f>IF(OR(ISNUMBER(F696),ISNUMBER(G696)),N(F696)-N(G696),"")</f>
        <v/>
      </c>
      <c r="I696" s="137" t="n"/>
      <c r="J696" s="117">
        <f>IF(OR(ISNUMBER(F696),ISNUMBER(G696)),IF(ISBLANK(G696),"⚠️ Chưa bóc tách định mức",IF(H696&gt;=0,"✅ OK - Cho phép đặt hàng","❌ CHẶN ĐẶT HÀNG - CẦN BẢO VỆ KL")),"")</f>
        <v/>
      </c>
      <c r="K696" s="138">
        <f>IF(OR(ISNUMBER(F696),ISNUMBER(G696)),IF(ISBLANK(G696),"Kỹ sư/Thầu phụ cần bóc tách KL bản vẽ",IF(H696&gt;=0,"Được đặt hàng tối đa "&amp;G696&amp;" "&amp;E696,"Vượt dự toán "&amp;ABS(H696)&amp;" "&amp;E696&amp;" (QS giải trình &amp; duyệt sửa BOQ)")),"")</f>
        <v/>
      </c>
    </row>
    <row r="697" ht="15.6" customHeight="1" s="75">
      <c r="A697" s="58" t="inlineStr">
        <is>
          <t>DHKK-C-III.3.2.44</t>
        </is>
      </c>
      <c r="B697" s="24" t="n"/>
      <c r="C697" s="98" t="inlineStr">
        <is>
          <t>Co 90  độ 400x1150x R100</t>
        </is>
      </c>
      <c r="D697" s="61" t="inlineStr">
        <is>
          <t>Cái</t>
        </is>
      </c>
      <c r="E697" s="61" t="inlineStr">
        <is>
          <t>Cái</t>
        </is>
      </c>
      <c r="F697" s="88" t="n">
        <v>1</v>
      </c>
      <c r="G697" s="85" t="n">
        <v>1</v>
      </c>
      <c r="H697" s="44">
        <f>IF(OR(ISNUMBER(F697),ISNUMBER(G697)),N(F697)-N(G697),"")</f>
        <v/>
      </c>
      <c r="I697" s="137" t="n"/>
      <c r="J697" s="117">
        <f>IF(OR(ISNUMBER(F697),ISNUMBER(G697)),IF(ISBLANK(G697),"⚠️ Chưa bóc tách định mức",IF(H697&gt;=0,"✅ OK - Cho phép đặt hàng","❌ CHẶN ĐẶT HÀNG - CẦN BẢO VỆ KL")),"")</f>
        <v/>
      </c>
      <c r="K697" s="138">
        <f>IF(OR(ISNUMBER(F697),ISNUMBER(G697)),IF(ISBLANK(G697),"Kỹ sư/Thầu phụ cần bóc tách KL bản vẽ",IF(H697&gt;=0,"Được đặt hàng tối đa "&amp;G697&amp;" "&amp;E697,"Vượt dự toán "&amp;ABS(H697)&amp;" "&amp;E697&amp;" (QS giải trình &amp; duyệt sửa BOQ)")),"")</f>
        <v/>
      </c>
    </row>
    <row r="698" ht="15.6" customHeight="1" s="75">
      <c r="A698" s="58" t="inlineStr">
        <is>
          <t>DHKK-C-III.3.2.45</t>
        </is>
      </c>
      <c r="B698" s="24" t="n"/>
      <c r="C698" s="98" t="inlineStr">
        <is>
          <t>Lượn 400x1150 L200 E50</t>
        </is>
      </c>
      <c r="D698" s="61" t="inlineStr">
        <is>
          <t>Cái</t>
        </is>
      </c>
      <c r="E698" s="61" t="inlineStr">
        <is>
          <t>Cái</t>
        </is>
      </c>
      <c r="F698" s="88" t="n">
        <v>1</v>
      </c>
      <c r="G698" s="85" t="n">
        <v>1</v>
      </c>
      <c r="H698" s="44">
        <f>IF(OR(ISNUMBER(F698),ISNUMBER(G698)),N(F698)-N(G698),"")</f>
        <v/>
      </c>
      <c r="I698" s="137" t="n"/>
      <c r="J698" s="117">
        <f>IF(OR(ISNUMBER(F698),ISNUMBER(G698)),IF(ISBLANK(G698),"⚠️ Chưa bóc tách định mức",IF(H698&gt;=0,"✅ OK - Cho phép đặt hàng","❌ CHẶN ĐẶT HÀNG - CẦN BẢO VỆ KL")),"")</f>
        <v/>
      </c>
      <c r="K698" s="138">
        <f>IF(OR(ISNUMBER(F698),ISNUMBER(G698)),IF(ISBLANK(G698),"Kỹ sư/Thầu phụ cần bóc tách KL bản vẽ",IF(H698&gt;=0,"Được đặt hàng tối đa "&amp;G698&amp;" "&amp;E698,"Vượt dự toán "&amp;ABS(H698)&amp;" "&amp;E698&amp;" (QS giải trình &amp; duyệt sửa BOQ)")),"")</f>
        <v/>
      </c>
    </row>
    <row r="699" ht="15.6" customHeight="1" s="75">
      <c r="A699" s="58" t="inlineStr">
        <is>
          <t>DHKK-C-III.3.2.46</t>
        </is>
      </c>
      <c r="B699" s="24" t="n"/>
      <c r="C699" s="98" t="inlineStr">
        <is>
          <t>Ống 1100x400x L1110</t>
        </is>
      </c>
      <c r="D699" s="61" t="inlineStr">
        <is>
          <t>Cái</t>
        </is>
      </c>
      <c r="E699" s="61" t="inlineStr">
        <is>
          <t>Cái</t>
        </is>
      </c>
      <c r="F699" s="88" t="n">
        <v>8</v>
      </c>
      <c r="G699" s="85" t="n">
        <v>8</v>
      </c>
      <c r="H699" s="44">
        <f>IF(OR(ISNUMBER(F699),ISNUMBER(G699)),N(F699)-N(G699),"")</f>
        <v/>
      </c>
      <c r="I699" s="137" t="n"/>
      <c r="J699" s="117">
        <f>IF(OR(ISNUMBER(F699),ISNUMBER(G699)),IF(ISBLANK(G699),"⚠️ Chưa bóc tách định mức",IF(H699&gt;=0,"✅ OK - Cho phép đặt hàng","❌ CHẶN ĐẶT HÀNG - CẦN BẢO VỆ KL")),"")</f>
        <v/>
      </c>
      <c r="K699" s="138">
        <f>IF(OR(ISNUMBER(F699),ISNUMBER(G699)),IF(ISBLANK(G699),"Kỹ sư/Thầu phụ cần bóc tách KL bản vẽ",IF(H699&gt;=0,"Được đặt hàng tối đa "&amp;G699&amp;" "&amp;E699,"Vượt dự toán "&amp;ABS(H699)&amp;" "&amp;E699&amp;" (QS giải trình &amp; duyệt sửa BOQ)")),"")</f>
        <v/>
      </c>
    </row>
    <row r="700" ht="15.6" customHeight="1" s="75">
      <c r="A700" s="58" t="inlineStr">
        <is>
          <t>DHKK-C-III.3.2.47</t>
        </is>
      </c>
      <c r="B700" s="24" t="n"/>
      <c r="C700" s="98" t="inlineStr">
        <is>
          <t>Ống 1100x400x L900</t>
        </is>
      </c>
      <c r="D700" s="61" t="inlineStr">
        <is>
          <t>Cái</t>
        </is>
      </c>
      <c r="E700" s="61" t="inlineStr">
        <is>
          <t>Cái</t>
        </is>
      </c>
      <c r="F700" s="88" t="n">
        <v>1</v>
      </c>
      <c r="G700" s="85" t="n">
        <v>1</v>
      </c>
      <c r="H700" s="44">
        <f>IF(OR(ISNUMBER(F700),ISNUMBER(G700)),N(F700)-N(G700),"")</f>
        <v/>
      </c>
      <c r="I700" s="137" t="n"/>
      <c r="J700" s="117">
        <f>IF(OR(ISNUMBER(F700),ISNUMBER(G700)),IF(ISBLANK(G700),"⚠️ Chưa bóc tách định mức",IF(H700&gt;=0,"✅ OK - Cho phép đặt hàng","❌ CHẶN ĐẶT HÀNG - CẦN BẢO VỆ KL")),"")</f>
        <v/>
      </c>
      <c r="K700" s="138">
        <f>IF(OR(ISNUMBER(F700),ISNUMBER(G700)),IF(ISBLANK(G700),"Kỹ sư/Thầu phụ cần bóc tách KL bản vẽ",IF(H700&gt;=0,"Được đặt hàng tối đa "&amp;G700&amp;" "&amp;E700,"Vượt dự toán "&amp;ABS(H700)&amp;" "&amp;E700&amp;" (QS giải trình &amp; duyệt sửa BOQ)")),"")</f>
        <v/>
      </c>
    </row>
    <row r="701" ht="15.6" customHeight="1" s="75">
      <c r="A701" s="58" t="inlineStr">
        <is>
          <t>DHKK-C-III.3.2.48</t>
        </is>
      </c>
      <c r="B701" s="24" t="n"/>
      <c r="C701" s="98" t="inlineStr">
        <is>
          <t>Ống 1100x400x L350</t>
        </is>
      </c>
      <c r="D701" s="61" t="inlineStr">
        <is>
          <t>Cái</t>
        </is>
      </c>
      <c r="E701" s="61" t="inlineStr">
        <is>
          <t>Cái</t>
        </is>
      </c>
      <c r="F701" s="88" t="n">
        <v>1</v>
      </c>
      <c r="G701" s="85" t="n">
        <v>1</v>
      </c>
      <c r="H701" s="44">
        <f>IF(OR(ISNUMBER(F701),ISNUMBER(G701)),N(F701)-N(G701),"")</f>
        <v/>
      </c>
      <c r="I701" s="137" t="n"/>
      <c r="J701" s="117">
        <f>IF(OR(ISNUMBER(F701),ISNUMBER(G701)),IF(ISBLANK(G701),"⚠️ Chưa bóc tách định mức",IF(H701&gt;=0,"✅ OK - Cho phép đặt hàng","❌ CHẶN ĐẶT HÀNG - CẦN BẢO VỆ KL")),"")</f>
        <v/>
      </c>
      <c r="K701" s="138">
        <f>IF(OR(ISNUMBER(F701),ISNUMBER(G701)),IF(ISBLANK(G701),"Kỹ sư/Thầu phụ cần bóc tách KL bản vẽ",IF(H701&gt;=0,"Được đặt hàng tối đa "&amp;G701&amp;" "&amp;E701,"Vượt dự toán "&amp;ABS(H701)&amp;" "&amp;E701&amp;" (QS giải trình &amp; duyệt sửa BOQ)")),"")</f>
        <v/>
      </c>
    </row>
    <row r="702" ht="15.6" customHeight="1" s="75">
      <c r="A702" s="58" t="inlineStr">
        <is>
          <t>DHKK-C-III.3.2.49</t>
        </is>
      </c>
      <c r="B702" s="24" t="n"/>
      <c r="C702" s="98" t="inlineStr">
        <is>
          <t>Co 90  độ 400x1100x R100</t>
        </is>
      </c>
      <c r="D702" s="61" t="inlineStr">
        <is>
          <t>Cái</t>
        </is>
      </c>
      <c r="E702" s="61" t="inlineStr">
        <is>
          <t>Cái</t>
        </is>
      </c>
      <c r="F702" s="88" t="n">
        <v>1</v>
      </c>
      <c r="G702" s="85" t="n">
        <v>1</v>
      </c>
      <c r="H702" s="44">
        <f>IF(OR(ISNUMBER(F702),ISNUMBER(G702)),N(F702)-N(G702),"")</f>
        <v/>
      </c>
      <c r="I702" s="137" t="n"/>
      <c r="J702" s="117">
        <f>IF(OR(ISNUMBER(F702),ISNUMBER(G702)),IF(ISBLANK(G702),"⚠️ Chưa bóc tách định mức",IF(H702&gt;=0,"✅ OK - Cho phép đặt hàng","❌ CHẶN ĐẶT HÀNG - CẦN BẢO VỆ KL")),"")</f>
        <v/>
      </c>
      <c r="K702" s="138">
        <f>IF(OR(ISNUMBER(F702),ISNUMBER(G702)),IF(ISBLANK(G702),"Kỹ sư/Thầu phụ cần bóc tách KL bản vẽ",IF(H702&gt;=0,"Được đặt hàng tối đa "&amp;G702&amp;" "&amp;E702,"Vượt dự toán "&amp;ABS(H702)&amp;" "&amp;E702&amp;" (QS giải trình &amp; duyệt sửa BOQ)")),"")</f>
        <v/>
      </c>
    </row>
    <row r="703" ht="15.6" customHeight="1" s="75">
      <c r="A703" s="58" t="inlineStr">
        <is>
          <t>DHKK-C-III.3.2.50</t>
        </is>
      </c>
      <c r="B703" s="24" t="n"/>
      <c r="C703" s="98" t="inlineStr">
        <is>
          <t>Lượn 400x1100 L200 E50</t>
        </is>
      </c>
      <c r="D703" s="61" t="inlineStr">
        <is>
          <t>Cái</t>
        </is>
      </c>
      <c r="E703" s="61" t="inlineStr">
        <is>
          <t>Cái</t>
        </is>
      </c>
      <c r="F703" s="88" t="n">
        <v>1</v>
      </c>
      <c r="G703" s="85" t="n">
        <v>1</v>
      </c>
      <c r="H703" s="44">
        <f>IF(OR(ISNUMBER(F703),ISNUMBER(G703)),N(F703)-N(G703),"")</f>
        <v/>
      </c>
      <c r="I703" s="137" t="n"/>
      <c r="J703" s="117">
        <f>IF(OR(ISNUMBER(F703),ISNUMBER(G703)),IF(ISBLANK(G703),"⚠️ Chưa bóc tách định mức",IF(H703&gt;=0,"✅ OK - Cho phép đặt hàng","❌ CHẶN ĐẶT HÀNG - CẦN BẢO VỆ KL")),"")</f>
        <v/>
      </c>
      <c r="K703" s="138">
        <f>IF(OR(ISNUMBER(F703),ISNUMBER(G703)),IF(ISBLANK(G703),"Kỹ sư/Thầu phụ cần bóc tách KL bản vẽ",IF(H703&gt;=0,"Được đặt hàng tối đa "&amp;G703&amp;" "&amp;E703,"Vượt dự toán "&amp;ABS(H703)&amp;" "&amp;E703&amp;" (QS giải trình &amp; duyệt sửa BOQ)")),"")</f>
        <v/>
      </c>
    </row>
    <row r="704" ht="15.6" customHeight="1" s="75">
      <c r="A704" s="58" t="inlineStr">
        <is>
          <t>DHKK-C-III.3.2.51</t>
        </is>
      </c>
      <c r="B704" s="24" t="n"/>
      <c r="C704" s="98" t="inlineStr">
        <is>
          <t>Ống 1100x400x L</t>
        </is>
      </c>
      <c r="D704" s="61" t="inlineStr">
        <is>
          <t>Cái</t>
        </is>
      </c>
      <c r="E704" s="61" t="inlineStr">
        <is>
          <t>Cái</t>
        </is>
      </c>
      <c r="F704" s="88" t="n">
        <v>2</v>
      </c>
      <c r="G704" s="85" t="n">
        <v>2</v>
      </c>
      <c r="H704" s="44">
        <f>IF(OR(ISNUMBER(F704),ISNUMBER(G704)),N(F704)-N(G704),"")</f>
        <v/>
      </c>
      <c r="I704" s="137" t="n"/>
      <c r="J704" s="117">
        <f>IF(OR(ISNUMBER(F704),ISNUMBER(G704)),IF(ISBLANK(G704),"⚠️ Chưa bóc tách định mức",IF(H704&gt;=0,"✅ OK - Cho phép đặt hàng","❌ CHẶN ĐẶT HÀNG - CẦN BẢO VỆ KL")),"")</f>
        <v/>
      </c>
      <c r="K704" s="138">
        <f>IF(OR(ISNUMBER(F704),ISNUMBER(G704)),IF(ISBLANK(G704),"Kỹ sư/Thầu phụ cần bóc tách KL bản vẽ",IF(H704&gt;=0,"Được đặt hàng tối đa "&amp;G704&amp;" "&amp;E704,"Vượt dự toán "&amp;ABS(H704)&amp;" "&amp;E704&amp;" (QS giải trình &amp; duyệt sửa BOQ)")),"")</f>
        <v/>
      </c>
    </row>
    <row r="705" ht="15.6" customHeight="1" s="75">
      <c r="A705" s="58" t="inlineStr">
        <is>
          <t>DHKK-C-III.3.2.52</t>
        </is>
      </c>
      <c r="B705" s="24" t="n"/>
      <c r="C705" s="106" t="inlineStr">
        <is>
          <t>Ống 1000x400x L400</t>
        </is>
      </c>
      <c r="D705" s="61" t="inlineStr">
        <is>
          <t>Cái</t>
        </is>
      </c>
      <c r="E705" s="61" t="inlineStr">
        <is>
          <t>Cái</t>
        </is>
      </c>
      <c r="F705" s="88" t="n">
        <v>9</v>
      </c>
      <c r="G705" s="85" t="n">
        <v>9</v>
      </c>
      <c r="H705" s="44">
        <f>IF(OR(ISNUMBER(F705),ISNUMBER(G705)),N(F705)-N(G705),"")</f>
        <v/>
      </c>
      <c r="I705" s="137" t="n"/>
      <c r="J705" s="117">
        <f>IF(OR(ISNUMBER(F705),ISNUMBER(G705)),IF(ISBLANK(G705),"⚠️ Chưa bóc tách định mức",IF(H705&gt;=0,"✅ OK - Cho phép đặt hàng","❌ CHẶN ĐẶT HÀNG - CẦN BẢO VỆ KL")),"")</f>
        <v/>
      </c>
      <c r="K705" s="138">
        <f>IF(OR(ISNUMBER(F705),ISNUMBER(G705)),IF(ISBLANK(G705),"Kỹ sư/Thầu phụ cần bóc tách KL bản vẽ",IF(H705&gt;=0,"Được đặt hàng tối đa "&amp;G705&amp;" "&amp;E705,"Vượt dự toán "&amp;ABS(H705)&amp;" "&amp;E705&amp;" (QS giải trình &amp; duyệt sửa BOQ)")),"")</f>
        <v/>
      </c>
    </row>
    <row r="706" ht="15.6" customHeight="1" s="75">
      <c r="A706" s="58" t="inlineStr">
        <is>
          <t>DHKK-C-III.3.2.53</t>
        </is>
      </c>
      <c r="B706" s="24" t="n"/>
      <c r="C706" s="98" t="inlineStr">
        <is>
          <t>Ống 1000x400x L1110</t>
        </is>
      </c>
      <c r="D706" s="61" t="inlineStr">
        <is>
          <t>Cái</t>
        </is>
      </c>
      <c r="E706" s="61" t="inlineStr">
        <is>
          <t>Cái</t>
        </is>
      </c>
      <c r="F706" s="88" t="n">
        <v>9</v>
      </c>
      <c r="G706" s="85" t="n">
        <v>9</v>
      </c>
      <c r="H706" s="44">
        <f>IF(OR(ISNUMBER(F706),ISNUMBER(G706)),N(F706)-N(G706),"")</f>
        <v/>
      </c>
      <c r="I706" s="137" t="n"/>
      <c r="J706" s="117">
        <f>IF(OR(ISNUMBER(F706),ISNUMBER(G706)),IF(ISBLANK(G706),"⚠️ Chưa bóc tách định mức",IF(H706&gt;=0,"✅ OK - Cho phép đặt hàng","❌ CHẶN ĐẶT HÀNG - CẦN BẢO VỆ KL")),"")</f>
        <v/>
      </c>
      <c r="K706" s="138">
        <f>IF(OR(ISNUMBER(F706),ISNUMBER(G706)),IF(ISBLANK(G706),"Kỹ sư/Thầu phụ cần bóc tách KL bản vẽ",IF(H706&gt;=0,"Được đặt hàng tối đa "&amp;G706&amp;" "&amp;E706,"Vượt dự toán "&amp;ABS(H706)&amp;" "&amp;E706&amp;" (QS giải trình &amp; duyệt sửa BOQ)")),"")</f>
        <v/>
      </c>
    </row>
    <row r="707" ht="15.6" customHeight="1" s="75">
      <c r="A707" s="58" t="inlineStr">
        <is>
          <t>DHKK-C-III.3.2.54</t>
        </is>
      </c>
      <c r="B707" s="24" t="n"/>
      <c r="C707" s="98" t="inlineStr">
        <is>
          <t>Ống 1000x400x L900</t>
        </is>
      </c>
      <c r="D707" s="61" t="inlineStr">
        <is>
          <t>Cái</t>
        </is>
      </c>
      <c r="E707" s="61" t="inlineStr">
        <is>
          <t>Cái</t>
        </is>
      </c>
      <c r="F707" s="88" t="n">
        <v>2</v>
      </c>
      <c r="G707" s="85" t="n">
        <v>2</v>
      </c>
      <c r="H707" s="44">
        <f>IF(OR(ISNUMBER(F707),ISNUMBER(G707)),N(F707)-N(G707),"")</f>
        <v/>
      </c>
      <c r="I707" s="137" t="n"/>
      <c r="J707" s="117">
        <f>IF(OR(ISNUMBER(F707),ISNUMBER(G707)),IF(ISBLANK(G707),"⚠️ Chưa bóc tách định mức",IF(H707&gt;=0,"✅ OK - Cho phép đặt hàng","❌ CHẶN ĐẶT HÀNG - CẦN BẢO VỆ KL")),"")</f>
        <v/>
      </c>
      <c r="K707" s="138">
        <f>IF(OR(ISNUMBER(F707),ISNUMBER(G707)),IF(ISBLANK(G707),"Kỹ sư/Thầu phụ cần bóc tách KL bản vẽ",IF(H707&gt;=0,"Được đặt hàng tối đa "&amp;G707&amp;" "&amp;E707,"Vượt dự toán "&amp;ABS(H707)&amp;" "&amp;E707&amp;" (QS giải trình &amp; duyệt sửa BOQ)")),"")</f>
        <v/>
      </c>
    </row>
    <row r="708" ht="15.6" customHeight="1" s="75">
      <c r="A708" s="58" t="inlineStr">
        <is>
          <t>DHKK-C-III.3.2.55</t>
        </is>
      </c>
      <c r="B708" s="24" t="n"/>
      <c r="C708" s="98" t="inlineStr">
        <is>
          <t>Ống 1000x400x L750</t>
        </is>
      </c>
      <c r="D708" s="61" t="inlineStr">
        <is>
          <t>Cái</t>
        </is>
      </c>
      <c r="E708" s="61" t="inlineStr">
        <is>
          <t>Cái</t>
        </is>
      </c>
      <c r="F708" s="88" t="n">
        <v>3</v>
      </c>
      <c r="G708" s="85" t="n">
        <v>3</v>
      </c>
      <c r="H708" s="44">
        <f>IF(OR(ISNUMBER(F708),ISNUMBER(G708)),N(F708)-N(G708),"")</f>
        <v/>
      </c>
      <c r="I708" s="137" t="n"/>
      <c r="J708" s="117">
        <f>IF(OR(ISNUMBER(F708),ISNUMBER(G708)),IF(ISBLANK(G708),"⚠️ Chưa bóc tách định mức",IF(H708&gt;=0,"✅ OK - Cho phép đặt hàng","❌ CHẶN ĐẶT HÀNG - CẦN BẢO VỆ KL")),"")</f>
        <v/>
      </c>
      <c r="K708" s="138">
        <f>IF(OR(ISNUMBER(F708),ISNUMBER(G708)),IF(ISBLANK(G708),"Kỹ sư/Thầu phụ cần bóc tách KL bản vẽ",IF(H708&gt;=0,"Được đặt hàng tối đa "&amp;G708&amp;" "&amp;E708,"Vượt dự toán "&amp;ABS(H708)&amp;" "&amp;E708&amp;" (QS giải trình &amp; duyệt sửa BOQ)")),"")</f>
        <v/>
      </c>
    </row>
    <row r="709" ht="15.6" customHeight="1" s="75">
      <c r="A709" s="58" t="inlineStr">
        <is>
          <t>DHKK-C-III.3.2.56</t>
        </is>
      </c>
      <c r="B709" s="24" t="n"/>
      <c r="C709" s="98" t="inlineStr">
        <is>
          <t>Ống 1000x400x L640</t>
        </is>
      </c>
      <c r="D709" s="61" t="inlineStr">
        <is>
          <t>Cái</t>
        </is>
      </c>
      <c r="E709" s="61" t="inlineStr">
        <is>
          <t>Cái</t>
        </is>
      </c>
      <c r="F709" s="88" t="n">
        <v>2</v>
      </c>
      <c r="G709" s="85" t="n">
        <v>2</v>
      </c>
      <c r="H709" s="44">
        <f>IF(OR(ISNUMBER(F709),ISNUMBER(G709)),N(F709)-N(G709),"")</f>
        <v/>
      </c>
      <c r="I709" s="137" t="n"/>
      <c r="J709" s="117">
        <f>IF(OR(ISNUMBER(F709),ISNUMBER(G709)),IF(ISBLANK(G709),"⚠️ Chưa bóc tách định mức",IF(H709&gt;=0,"✅ OK - Cho phép đặt hàng","❌ CHẶN ĐẶT HÀNG - CẦN BẢO VỆ KL")),"")</f>
        <v/>
      </c>
      <c r="K709" s="138">
        <f>IF(OR(ISNUMBER(F709),ISNUMBER(G709)),IF(ISBLANK(G709),"Kỹ sư/Thầu phụ cần bóc tách KL bản vẽ",IF(H709&gt;=0,"Được đặt hàng tối đa "&amp;G709&amp;" "&amp;E709,"Vượt dự toán "&amp;ABS(H709)&amp;" "&amp;E709&amp;" (QS giải trình &amp; duyệt sửa BOQ)")),"")</f>
        <v/>
      </c>
    </row>
    <row r="710" ht="15.6" customHeight="1" s="75">
      <c r="A710" s="58" t="inlineStr">
        <is>
          <t>DHKK-C-III.3.2.57</t>
        </is>
      </c>
      <c r="B710" s="24" t="n"/>
      <c r="C710" s="98" t="inlineStr">
        <is>
          <t>Ống 1000x400x L590</t>
        </is>
      </c>
      <c r="D710" s="61" t="inlineStr">
        <is>
          <t>Cái</t>
        </is>
      </c>
      <c r="E710" s="61" t="inlineStr">
        <is>
          <t>Cái</t>
        </is>
      </c>
      <c r="F710" s="88" t="n">
        <v>2</v>
      </c>
      <c r="G710" s="85" t="n">
        <v>2</v>
      </c>
      <c r="H710" s="44">
        <f>IF(OR(ISNUMBER(F710),ISNUMBER(G710)),N(F710)-N(G710),"")</f>
        <v/>
      </c>
      <c r="I710" s="137" t="n"/>
      <c r="J710" s="117">
        <f>IF(OR(ISNUMBER(F710),ISNUMBER(G710)),IF(ISBLANK(G710),"⚠️ Chưa bóc tách định mức",IF(H710&gt;=0,"✅ OK - Cho phép đặt hàng","❌ CHẶN ĐẶT HÀNG - CẦN BẢO VỆ KL")),"")</f>
        <v/>
      </c>
      <c r="K710" s="138">
        <f>IF(OR(ISNUMBER(F710),ISNUMBER(G710)),IF(ISBLANK(G710),"Kỹ sư/Thầu phụ cần bóc tách KL bản vẽ",IF(H710&gt;=0,"Được đặt hàng tối đa "&amp;G710&amp;" "&amp;E710,"Vượt dự toán "&amp;ABS(H710)&amp;" "&amp;E710&amp;" (QS giải trình &amp; duyệt sửa BOQ)")),"")</f>
        <v/>
      </c>
    </row>
    <row r="711" ht="15.6" customHeight="1" s="75">
      <c r="A711" s="58" t="inlineStr">
        <is>
          <t>DHKK-C-III.3.2.58</t>
        </is>
      </c>
      <c r="B711" s="24" t="n"/>
      <c r="C711" s="98" t="inlineStr">
        <is>
          <t>Ống 950x700x L1110</t>
        </is>
      </c>
      <c r="D711" s="61" t="inlineStr">
        <is>
          <t>Cái</t>
        </is>
      </c>
      <c r="E711" s="61" t="inlineStr">
        <is>
          <t>Cái</t>
        </is>
      </c>
      <c r="F711" s="88" t="n">
        <v>6</v>
      </c>
      <c r="G711" s="85" t="n">
        <v>6</v>
      </c>
      <c r="H711" s="44">
        <f>IF(OR(ISNUMBER(F711),ISNUMBER(G711)),N(F711)-N(G711),"")</f>
        <v/>
      </c>
      <c r="I711" s="137" t="n"/>
      <c r="J711" s="117">
        <f>IF(OR(ISNUMBER(F711),ISNUMBER(G711)),IF(ISBLANK(G711),"⚠️ Chưa bóc tách định mức",IF(H711&gt;=0,"✅ OK - Cho phép đặt hàng","❌ CHẶN ĐẶT HÀNG - CẦN BẢO VỆ KL")),"")</f>
        <v/>
      </c>
      <c r="K711" s="138">
        <f>IF(OR(ISNUMBER(F711),ISNUMBER(G711)),IF(ISBLANK(G711),"Kỹ sư/Thầu phụ cần bóc tách KL bản vẽ",IF(H711&gt;=0,"Được đặt hàng tối đa "&amp;G711&amp;" "&amp;E711,"Vượt dự toán "&amp;ABS(H711)&amp;" "&amp;E711&amp;" (QS giải trình &amp; duyệt sửa BOQ)")),"")</f>
        <v/>
      </c>
    </row>
    <row r="712" ht="15.6" customHeight="1" s="75">
      <c r="A712" s="58" t="inlineStr">
        <is>
          <t>DHKK-C-III.3.2.59</t>
        </is>
      </c>
      <c r="B712" s="24" t="n"/>
      <c r="C712" s="98" t="inlineStr">
        <is>
          <t>Ống 950x700x L840</t>
        </is>
      </c>
      <c r="D712" s="61" t="inlineStr">
        <is>
          <t>Cái</t>
        </is>
      </c>
      <c r="E712" s="61" t="inlineStr">
        <is>
          <t>Cái</t>
        </is>
      </c>
      <c r="F712" s="88" t="n">
        <v>1</v>
      </c>
      <c r="G712" s="85" t="n">
        <v>1</v>
      </c>
      <c r="H712" s="44">
        <f>IF(OR(ISNUMBER(F712),ISNUMBER(G712)),N(F712)-N(G712),"")</f>
        <v/>
      </c>
      <c r="I712" s="137" t="n"/>
      <c r="J712" s="117">
        <f>IF(OR(ISNUMBER(F712),ISNUMBER(G712)),IF(ISBLANK(G712),"⚠️ Chưa bóc tách định mức",IF(H712&gt;=0,"✅ OK - Cho phép đặt hàng","❌ CHẶN ĐẶT HÀNG - CẦN BẢO VỆ KL")),"")</f>
        <v/>
      </c>
      <c r="K712" s="138">
        <f>IF(OR(ISNUMBER(F712),ISNUMBER(G712)),IF(ISBLANK(G712),"Kỹ sư/Thầu phụ cần bóc tách KL bản vẽ",IF(H712&gt;=0,"Được đặt hàng tối đa "&amp;G712&amp;" "&amp;E712,"Vượt dự toán "&amp;ABS(H712)&amp;" "&amp;E712&amp;" (QS giải trình &amp; duyệt sửa BOQ)")),"")</f>
        <v/>
      </c>
    </row>
    <row r="713" ht="15.6" customHeight="1" s="75">
      <c r="A713" s="58" t="inlineStr">
        <is>
          <t>DHKK-C-III.3.2.60</t>
        </is>
      </c>
      <c r="B713" s="24" t="n"/>
      <c r="C713" s="98" t="inlineStr">
        <is>
          <t>Ống 950x700x L400</t>
        </is>
      </c>
      <c r="D713" s="61" t="inlineStr">
        <is>
          <t>Cái</t>
        </is>
      </c>
      <c r="E713" s="61" t="inlineStr">
        <is>
          <t>Cái</t>
        </is>
      </c>
      <c r="F713" s="88" t="n">
        <v>1</v>
      </c>
      <c r="G713" s="85" t="n">
        <v>1</v>
      </c>
      <c r="H713" s="44">
        <f>IF(OR(ISNUMBER(F713),ISNUMBER(G713)),N(F713)-N(G713),"")</f>
        <v/>
      </c>
      <c r="I713" s="137" t="n"/>
      <c r="J713" s="117">
        <f>IF(OR(ISNUMBER(F713),ISNUMBER(G713)),IF(ISBLANK(G713),"⚠️ Chưa bóc tách định mức",IF(H713&gt;=0,"✅ OK - Cho phép đặt hàng","❌ CHẶN ĐẶT HÀNG - CẦN BẢO VỆ KL")),"")</f>
        <v/>
      </c>
      <c r="K713" s="138">
        <f>IF(OR(ISNUMBER(F713),ISNUMBER(G713)),IF(ISBLANK(G713),"Kỹ sư/Thầu phụ cần bóc tách KL bản vẽ",IF(H713&gt;=0,"Được đặt hàng tối đa "&amp;G713&amp;" "&amp;E713,"Vượt dự toán "&amp;ABS(H713)&amp;" "&amp;E713&amp;" (QS giải trình &amp; duyệt sửa BOQ)")),"")</f>
        <v/>
      </c>
    </row>
    <row r="714" ht="15.6" customHeight="1" s="75">
      <c r="A714" s="58" t="inlineStr">
        <is>
          <t>DHKK-C-III.3.2.61</t>
        </is>
      </c>
      <c r="B714" s="24" t="n"/>
      <c r="C714" s="98" t="inlineStr">
        <is>
          <t>Ống 950x700x L</t>
        </is>
      </c>
      <c r="D714" s="61" t="inlineStr">
        <is>
          <t>Cái</t>
        </is>
      </c>
      <c r="E714" s="61" t="inlineStr">
        <is>
          <t>Cái</t>
        </is>
      </c>
      <c r="F714" s="88" t="n">
        <v>2</v>
      </c>
      <c r="G714" s="85" t="n">
        <v>2</v>
      </c>
      <c r="H714" s="44">
        <f>IF(OR(ISNUMBER(F714),ISNUMBER(G714)),N(F714)-N(G714),"")</f>
        <v/>
      </c>
      <c r="I714" s="137" t="n"/>
      <c r="J714" s="117">
        <f>IF(OR(ISNUMBER(F714),ISNUMBER(G714)),IF(ISBLANK(G714),"⚠️ Chưa bóc tách định mức",IF(H714&gt;=0,"✅ OK - Cho phép đặt hàng","❌ CHẶN ĐẶT HÀNG - CẦN BẢO VỆ KL")),"")</f>
        <v/>
      </c>
      <c r="K714" s="138">
        <f>IF(OR(ISNUMBER(F714),ISNUMBER(G714)),IF(ISBLANK(G714),"Kỹ sư/Thầu phụ cần bóc tách KL bản vẽ",IF(H714&gt;=0,"Được đặt hàng tối đa "&amp;G714&amp;" "&amp;E714,"Vượt dự toán "&amp;ABS(H714)&amp;" "&amp;E714&amp;" (QS giải trình &amp; duyệt sửa BOQ)")),"")</f>
        <v/>
      </c>
    </row>
    <row r="715" ht="15.6" customHeight="1" s="75">
      <c r="A715" s="58" t="inlineStr">
        <is>
          <t>DHKK-C-III.3.2.62</t>
        </is>
      </c>
      <c r="B715" s="24" t="n"/>
      <c r="C715" s="98" t="inlineStr">
        <is>
          <t>Co 90  độ 750x950x R170</t>
        </is>
      </c>
      <c r="D715" s="61" t="inlineStr">
        <is>
          <t>Cái</t>
        </is>
      </c>
      <c r="E715" s="61" t="inlineStr">
        <is>
          <t>Cái</t>
        </is>
      </c>
      <c r="F715" s="88" t="n">
        <v>1</v>
      </c>
      <c r="G715" s="85" t="n">
        <v>1</v>
      </c>
      <c r="H715" s="44">
        <f>IF(OR(ISNUMBER(F715),ISNUMBER(G715)),N(F715)-N(G715),"")</f>
        <v/>
      </c>
      <c r="I715" s="137" t="n"/>
      <c r="J715" s="117">
        <f>IF(OR(ISNUMBER(F715),ISNUMBER(G715)),IF(ISBLANK(G715),"⚠️ Chưa bóc tách định mức",IF(H715&gt;=0,"✅ OK - Cho phép đặt hàng","❌ CHẶN ĐẶT HÀNG - CẦN BẢO VỆ KL")),"")</f>
        <v/>
      </c>
      <c r="K715" s="138">
        <f>IF(OR(ISNUMBER(F715),ISNUMBER(G715)),IF(ISBLANK(G715),"Kỹ sư/Thầu phụ cần bóc tách KL bản vẽ",IF(H715&gt;=0,"Được đặt hàng tối đa "&amp;G715&amp;" "&amp;E715,"Vượt dự toán "&amp;ABS(H715)&amp;" "&amp;E715&amp;" (QS giải trình &amp; duyệt sửa BOQ)")),"")</f>
        <v/>
      </c>
    </row>
    <row r="716" ht="15.6" customHeight="1" s="75">
      <c r="A716" s="58" t="inlineStr">
        <is>
          <t>DHKK-C-III.3.2.63</t>
        </is>
      </c>
      <c r="B716" s="24" t="n"/>
      <c r="C716" s="98" t="inlineStr">
        <is>
          <t>Lượn 750x950 L300 E50</t>
        </is>
      </c>
      <c r="D716" s="61" t="inlineStr">
        <is>
          <t>Cái</t>
        </is>
      </c>
      <c r="E716" s="61" t="inlineStr">
        <is>
          <t>Cái</t>
        </is>
      </c>
      <c r="F716" s="88" t="n">
        <v>1</v>
      </c>
      <c r="G716" s="85" t="n">
        <v>1</v>
      </c>
      <c r="H716" s="44">
        <f>IF(OR(ISNUMBER(F716),ISNUMBER(G716)),N(F716)-N(G716),"")</f>
        <v/>
      </c>
      <c r="I716" s="137" t="n"/>
      <c r="J716" s="117">
        <f>IF(OR(ISNUMBER(F716),ISNUMBER(G716)),IF(ISBLANK(G716),"⚠️ Chưa bóc tách định mức",IF(H716&gt;=0,"✅ OK - Cho phép đặt hàng","❌ CHẶN ĐẶT HÀNG - CẦN BẢO VỆ KL")),"")</f>
        <v/>
      </c>
      <c r="K716" s="138">
        <f>IF(OR(ISNUMBER(F716),ISNUMBER(G716)),IF(ISBLANK(G716),"Kỹ sư/Thầu phụ cần bóc tách KL bản vẽ",IF(H716&gt;=0,"Được đặt hàng tối đa "&amp;G716&amp;" "&amp;E716,"Vượt dự toán "&amp;ABS(H716)&amp;" "&amp;E716&amp;" (QS giải trình &amp; duyệt sửa BOQ)")),"")</f>
        <v/>
      </c>
    </row>
    <row r="717" ht="15.6" customHeight="1" s="75">
      <c r="A717" s="58" t="inlineStr">
        <is>
          <t>DHKK-C-III.3.2.64</t>
        </is>
      </c>
      <c r="B717" s="24" t="n"/>
      <c r="C717" s="98" t="inlineStr">
        <is>
          <t>Ống 650x750x L1110</t>
        </is>
      </c>
      <c r="D717" s="61" t="inlineStr">
        <is>
          <t>Cái</t>
        </is>
      </c>
      <c r="E717" s="61" t="inlineStr">
        <is>
          <t>Cái</t>
        </is>
      </c>
      <c r="F717" s="88" t="n">
        <v>5</v>
      </c>
      <c r="G717" s="85" t="n">
        <v>5</v>
      </c>
      <c r="H717" s="44">
        <f>IF(OR(ISNUMBER(F717),ISNUMBER(G717)),N(F717)-N(G717),"")</f>
        <v/>
      </c>
      <c r="I717" s="137" t="n"/>
      <c r="J717" s="117">
        <f>IF(OR(ISNUMBER(F717),ISNUMBER(G717)),IF(ISBLANK(G717),"⚠️ Chưa bóc tách định mức",IF(H717&gt;=0,"✅ OK - Cho phép đặt hàng","❌ CHẶN ĐẶT HÀNG - CẦN BẢO VỆ KL")),"")</f>
        <v/>
      </c>
      <c r="K717" s="138">
        <f>IF(OR(ISNUMBER(F717),ISNUMBER(G717)),IF(ISBLANK(G717),"Kỹ sư/Thầu phụ cần bóc tách KL bản vẽ",IF(H717&gt;=0,"Được đặt hàng tối đa "&amp;G717&amp;" "&amp;E717,"Vượt dự toán "&amp;ABS(H717)&amp;" "&amp;E717&amp;" (QS giải trình &amp; duyệt sửa BOQ)")),"")</f>
        <v/>
      </c>
    </row>
    <row r="718" ht="15.6" customHeight="1" s="75">
      <c r="A718" s="58" t="inlineStr">
        <is>
          <t>DHKK-C-III.3.2.65</t>
        </is>
      </c>
      <c r="B718" s="24" t="n"/>
      <c r="C718" s="98" t="inlineStr">
        <is>
          <t>Ống 650x750x L730</t>
        </is>
      </c>
      <c r="D718" s="61" t="inlineStr">
        <is>
          <t>Cái</t>
        </is>
      </c>
      <c r="E718" s="61" t="inlineStr">
        <is>
          <t>Cái</t>
        </is>
      </c>
      <c r="F718" s="88" t="n">
        <v>1</v>
      </c>
      <c r="G718" s="85" t="n">
        <v>1</v>
      </c>
      <c r="H718" s="44">
        <f>IF(OR(ISNUMBER(F718),ISNUMBER(G718)),N(F718)-N(G718),"")</f>
        <v/>
      </c>
      <c r="I718" s="137" t="n"/>
      <c r="J718" s="117">
        <f>IF(OR(ISNUMBER(F718),ISNUMBER(G718)),IF(ISBLANK(G718),"⚠️ Chưa bóc tách định mức",IF(H718&gt;=0,"✅ OK - Cho phép đặt hàng","❌ CHẶN ĐẶT HÀNG - CẦN BẢO VỆ KL")),"")</f>
        <v/>
      </c>
      <c r="K718" s="138">
        <f>IF(OR(ISNUMBER(F718),ISNUMBER(G718)),IF(ISBLANK(G718),"Kỹ sư/Thầu phụ cần bóc tách KL bản vẽ",IF(H718&gt;=0,"Được đặt hàng tối đa "&amp;G718&amp;" "&amp;E718,"Vượt dự toán "&amp;ABS(H718)&amp;" "&amp;E718&amp;" (QS giải trình &amp; duyệt sửa BOQ)")),"")</f>
        <v/>
      </c>
    </row>
    <row r="719" ht="15.6" customHeight="1" s="75">
      <c r="A719" s="58" t="inlineStr">
        <is>
          <t>DHKK-C-III.3.2.66</t>
        </is>
      </c>
      <c r="B719" s="24" t="n"/>
      <c r="C719" s="98" t="inlineStr">
        <is>
          <t>Co 90  độ 650x750x R250</t>
        </is>
      </c>
      <c r="D719" s="61" t="inlineStr">
        <is>
          <t>Cái</t>
        </is>
      </c>
      <c r="E719" s="61" t="inlineStr">
        <is>
          <t>Cái</t>
        </is>
      </c>
      <c r="F719" s="88" t="n">
        <v>1</v>
      </c>
      <c r="G719" s="85" t="n">
        <v>1</v>
      </c>
      <c r="H719" s="44">
        <f>IF(OR(ISNUMBER(F719),ISNUMBER(G719)),N(F719)-N(G719),"")</f>
        <v/>
      </c>
      <c r="I719" s="137" t="n"/>
      <c r="J719" s="117">
        <f>IF(OR(ISNUMBER(F719),ISNUMBER(G719)),IF(ISBLANK(G719),"⚠️ Chưa bóc tách định mức",IF(H719&gt;=0,"✅ OK - Cho phép đặt hàng","❌ CHẶN ĐẶT HÀNG - CẦN BẢO VỆ KL")),"")</f>
        <v/>
      </c>
      <c r="K719" s="138">
        <f>IF(OR(ISNUMBER(F719),ISNUMBER(G719)),IF(ISBLANK(G719),"Kỹ sư/Thầu phụ cần bóc tách KL bản vẽ",IF(H719&gt;=0,"Được đặt hàng tối đa "&amp;G719&amp;" "&amp;E719,"Vượt dự toán "&amp;ABS(H719)&amp;" "&amp;E719&amp;" (QS giải trình &amp; duyệt sửa BOQ)")),"")</f>
        <v/>
      </c>
    </row>
    <row r="720" ht="15.6" customHeight="1" s="75">
      <c r="A720" s="58" t="inlineStr">
        <is>
          <t>DHKK-C-III.3.2.67</t>
        </is>
      </c>
      <c r="B720" s="24" t="n"/>
      <c r="C720" s="98" t="inlineStr">
        <is>
          <t>Lượn 650x750 L200 E50</t>
        </is>
      </c>
      <c r="D720" s="61" t="inlineStr">
        <is>
          <t>Cái</t>
        </is>
      </c>
      <c r="E720" s="61" t="inlineStr">
        <is>
          <t>Cái</t>
        </is>
      </c>
      <c r="F720" s="88" t="n">
        <v>1</v>
      </c>
      <c r="G720" s="85" t="n">
        <v>1</v>
      </c>
      <c r="H720" s="44">
        <f>IF(OR(ISNUMBER(F720),ISNUMBER(G720)),N(F720)-N(G720),"")</f>
        <v/>
      </c>
      <c r="I720" s="137" t="n"/>
      <c r="J720" s="117">
        <f>IF(OR(ISNUMBER(F720),ISNUMBER(G720)),IF(ISBLANK(G720),"⚠️ Chưa bóc tách định mức",IF(H720&gt;=0,"✅ OK - Cho phép đặt hàng","❌ CHẶN ĐẶT HÀNG - CẦN BẢO VỆ KL")),"")</f>
        <v/>
      </c>
      <c r="K720" s="138">
        <f>IF(OR(ISNUMBER(F720),ISNUMBER(G720)),IF(ISBLANK(G720),"Kỹ sư/Thầu phụ cần bóc tách KL bản vẽ",IF(H720&gt;=0,"Được đặt hàng tối đa "&amp;G720&amp;" "&amp;E720,"Vượt dự toán "&amp;ABS(H720)&amp;" "&amp;E720&amp;" (QS giải trình &amp; duyệt sửa BOQ)")),"")</f>
        <v/>
      </c>
    </row>
    <row r="721" ht="15.6" customHeight="1" s="75">
      <c r="A721" s="58" t="inlineStr">
        <is>
          <t>DHKK-C-III.3.2.68</t>
        </is>
      </c>
      <c r="B721" s="24" t="n"/>
      <c r="C721" s="98" t="inlineStr">
        <is>
          <t>Ống 650x750x L</t>
        </is>
      </c>
      <c r="D721" s="61" t="inlineStr">
        <is>
          <t>Cái</t>
        </is>
      </c>
      <c r="E721" s="61" t="inlineStr">
        <is>
          <t>Cái</t>
        </is>
      </c>
      <c r="F721" s="88" t="n">
        <v>2</v>
      </c>
      <c r="G721" s="85" t="n">
        <v>2</v>
      </c>
      <c r="H721" s="44">
        <f>IF(OR(ISNUMBER(F721),ISNUMBER(G721)),N(F721)-N(G721),"")</f>
        <v/>
      </c>
      <c r="I721" s="137" t="n"/>
      <c r="J721" s="117">
        <f>IF(OR(ISNUMBER(F721),ISNUMBER(G721)),IF(ISBLANK(G721),"⚠️ Chưa bóc tách định mức",IF(H721&gt;=0,"✅ OK - Cho phép đặt hàng","❌ CHẶN ĐẶT HÀNG - CẦN BẢO VỆ KL")),"")</f>
        <v/>
      </c>
      <c r="K721" s="138">
        <f>IF(OR(ISNUMBER(F721),ISNUMBER(G721)),IF(ISBLANK(G721),"Kỹ sư/Thầu phụ cần bóc tách KL bản vẽ",IF(H721&gt;=0,"Được đặt hàng tối đa "&amp;G721&amp;" "&amp;E721,"Vượt dự toán "&amp;ABS(H721)&amp;" "&amp;E721&amp;" (QS giải trình &amp; duyệt sửa BOQ)")),"")</f>
        <v/>
      </c>
    </row>
    <row r="722" ht="15.6" customHeight="1" s="75">
      <c r="A722" s="58" t="inlineStr">
        <is>
          <t>DHKK-C-III.3.2.69</t>
        </is>
      </c>
      <c r="B722" s="24" t="n"/>
      <c r="C722" s="98" t="inlineStr">
        <is>
          <t>Ống bít đầu 1600x300x L50</t>
        </is>
      </c>
      <c r="D722" s="61" t="inlineStr">
        <is>
          <t>Cái</t>
        </is>
      </c>
      <c r="E722" s="61" t="inlineStr">
        <is>
          <t>Cái</t>
        </is>
      </c>
      <c r="F722" s="88" t="n">
        <v>1</v>
      </c>
      <c r="G722" s="85" t="n">
        <v>1</v>
      </c>
      <c r="H722" s="44">
        <f>IF(OR(ISNUMBER(F722),ISNUMBER(G722)),N(F722)-N(G722),"")</f>
        <v/>
      </c>
      <c r="I722" s="137" t="n"/>
      <c r="J722" s="117">
        <f>IF(OR(ISNUMBER(F722),ISNUMBER(G722)),IF(ISBLANK(G722),"⚠️ Chưa bóc tách định mức",IF(H722&gt;=0,"✅ OK - Cho phép đặt hàng","❌ CHẶN ĐẶT HÀNG - CẦN BẢO VỆ KL")),"")</f>
        <v/>
      </c>
      <c r="K722" s="138">
        <f>IF(OR(ISNUMBER(F722),ISNUMBER(G722)),IF(ISBLANK(G722),"Kỹ sư/Thầu phụ cần bóc tách KL bản vẽ",IF(H722&gt;=0,"Được đặt hàng tối đa "&amp;G722&amp;" "&amp;E722,"Vượt dự toán "&amp;ABS(H722)&amp;" "&amp;E722&amp;" (QS giải trình &amp; duyệt sửa BOQ)")),"")</f>
        <v/>
      </c>
    </row>
    <row r="723" ht="15.6" customHeight="1" s="75">
      <c r="A723" s="58" t="inlineStr">
        <is>
          <t>DHKK-C-III.3.2.70</t>
        </is>
      </c>
      <c r="B723" s="24" t="n"/>
      <c r="C723" s="98" t="inlineStr">
        <is>
          <t>Ống bít đầu 1350x550x L50</t>
        </is>
      </c>
      <c r="D723" s="61" t="inlineStr">
        <is>
          <t>Cái</t>
        </is>
      </c>
      <c r="E723" s="61" t="inlineStr">
        <is>
          <t>Cái</t>
        </is>
      </c>
      <c r="F723" s="88" t="n">
        <v>1</v>
      </c>
      <c r="G723" s="85" t="n">
        <v>1</v>
      </c>
      <c r="H723" s="44">
        <f>IF(OR(ISNUMBER(F723),ISNUMBER(G723)),N(F723)-N(G723),"")</f>
        <v/>
      </c>
      <c r="I723" s="137" t="n"/>
      <c r="J723" s="117">
        <f>IF(OR(ISNUMBER(F723),ISNUMBER(G723)),IF(ISBLANK(G723),"⚠️ Chưa bóc tách định mức",IF(H723&gt;=0,"✅ OK - Cho phép đặt hàng","❌ CHẶN ĐẶT HÀNG - CẦN BẢO VỆ KL")),"")</f>
        <v/>
      </c>
      <c r="K723" s="138">
        <f>IF(OR(ISNUMBER(F723),ISNUMBER(G723)),IF(ISBLANK(G723),"Kỹ sư/Thầu phụ cần bóc tách KL bản vẽ",IF(H723&gt;=0,"Được đặt hàng tối đa "&amp;G723&amp;" "&amp;E723,"Vượt dự toán "&amp;ABS(H723)&amp;" "&amp;E723&amp;" (QS giải trình &amp; duyệt sửa BOQ)")),"")</f>
        <v/>
      </c>
    </row>
    <row r="724" ht="15.6" customHeight="1" s="75">
      <c r="A724" s="58" t="inlineStr">
        <is>
          <t>DHKK-C-III.3.2.71</t>
        </is>
      </c>
      <c r="B724" s="24" t="n"/>
      <c r="C724" s="98" t="inlineStr">
        <is>
          <t>Ống bít đầu 1300x700x L50</t>
        </is>
      </c>
      <c r="D724" s="61" t="inlineStr">
        <is>
          <t>Cái</t>
        </is>
      </c>
      <c r="E724" s="61" t="inlineStr">
        <is>
          <t>Cái</t>
        </is>
      </c>
      <c r="F724" s="88" t="n">
        <v>1</v>
      </c>
      <c r="G724" s="85" t="n">
        <v>1</v>
      </c>
      <c r="H724" s="44">
        <f>IF(OR(ISNUMBER(F724),ISNUMBER(G724)),N(F724)-N(G724),"")</f>
        <v/>
      </c>
      <c r="I724" s="137" t="n"/>
      <c r="J724" s="117">
        <f>IF(OR(ISNUMBER(F724),ISNUMBER(G724)),IF(ISBLANK(G724),"⚠️ Chưa bóc tách định mức",IF(H724&gt;=0,"✅ OK - Cho phép đặt hàng","❌ CHẶN ĐẶT HÀNG - CẦN BẢO VỆ KL")),"")</f>
        <v/>
      </c>
      <c r="K724" s="138">
        <f>IF(OR(ISNUMBER(F724),ISNUMBER(G724)),IF(ISBLANK(G724),"Kỹ sư/Thầu phụ cần bóc tách KL bản vẽ",IF(H724&gt;=0,"Được đặt hàng tối đa "&amp;G724&amp;" "&amp;E724,"Vượt dự toán "&amp;ABS(H724)&amp;" "&amp;E724&amp;" (QS giải trình &amp; duyệt sửa BOQ)")),"")</f>
        <v/>
      </c>
    </row>
    <row r="725" ht="15.6" customHeight="1" s="75">
      <c r="A725" s="58" t="inlineStr">
        <is>
          <t>DHKK-C-III.3.2.72</t>
        </is>
      </c>
      <c r="B725" s="24" t="n"/>
      <c r="C725" s="98" t="inlineStr">
        <is>
          <t>Ống bít đầu 1200x600x L50</t>
        </is>
      </c>
      <c r="D725" s="61" t="inlineStr">
        <is>
          <t>Cái</t>
        </is>
      </c>
      <c r="E725" s="61" t="inlineStr">
        <is>
          <t>Cái</t>
        </is>
      </c>
      <c r="F725" s="88" t="n">
        <v>2</v>
      </c>
      <c r="G725" s="85" t="n">
        <v>2</v>
      </c>
      <c r="H725" s="44">
        <f>IF(OR(ISNUMBER(F725),ISNUMBER(G725)),N(F725)-N(G725),"")</f>
        <v/>
      </c>
      <c r="I725" s="137" t="n"/>
      <c r="J725" s="117">
        <f>IF(OR(ISNUMBER(F725),ISNUMBER(G725)),IF(ISBLANK(G725),"⚠️ Chưa bóc tách định mức",IF(H725&gt;=0,"✅ OK - Cho phép đặt hàng","❌ CHẶN ĐẶT HÀNG - CẦN BẢO VỆ KL")),"")</f>
        <v/>
      </c>
      <c r="K725" s="138">
        <f>IF(OR(ISNUMBER(F725),ISNUMBER(G725)),IF(ISBLANK(G725),"Kỹ sư/Thầu phụ cần bóc tách KL bản vẽ",IF(H725&gt;=0,"Được đặt hàng tối đa "&amp;G725&amp;" "&amp;E725,"Vượt dự toán "&amp;ABS(H725)&amp;" "&amp;E725&amp;" (QS giải trình &amp; duyệt sửa BOQ)")),"")</f>
        <v/>
      </c>
    </row>
    <row r="726" ht="15.6" customHeight="1" s="75">
      <c r="A726" s="58" t="inlineStr">
        <is>
          <t>DHKK-C-III.3.2.73</t>
        </is>
      </c>
      <c r="B726" s="24" t="n"/>
      <c r="C726" s="98" t="inlineStr">
        <is>
          <t>Ống bít đầu 1150x400x L50</t>
        </is>
      </c>
      <c r="D726" s="61" t="inlineStr">
        <is>
          <t>Cái</t>
        </is>
      </c>
      <c r="E726" s="61" t="inlineStr">
        <is>
          <t>Cái</t>
        </is>
      </c>
      <c r="F726" s="88" t="n">
        <v>1</v>
      </c>
      <c r="G726" s="85" t="n">
        <v>1</v>
      </c>
      <c r="H726" s="44">
        <f>IF(OR(ISNUMBER(F726),ISNUMBER(G726)),N(F726)-N(G726),"")</f>
        <v/>
      </c>
      <c r="I726" s="137" t="n"/>
      <c r="J726" s="117">
        <f>IF(OR(ISNUMBER(F726),ISNUMBER(G726)),IF(ISBLANK(G726),"⚠️ Chưa bóc tách định mức",IF(H726&gt;=0,"✅ OK - Cho phép đặt hàng","❌ CHẶN ĐẶT HÀNG - CẦN BẢO VỆ KL")),"")</f>
        <v/>
      </c>
      <c r="K726" s="138">
        <f>IF(OR(ISNUMBER(F726),ISNUMBER(G726)),IF(ISBLANK(G726),"Kỹ sư/Thầu phụ cần bóc tách KL bản vẽ",IF(H726&gt;=0,"Được đặt hàng tối đa "&amp;G726&amp;" "&amp;E726,"Vượt dự toán "&amp;ABS(H726)&amp;" "&amp;E726&amp;" (QS giải trình &amp; duyệt sửa BOQ)")),"")</f>
        <v/>
      </c>
    </row>
    <row r="727" ht="15.6" customHeight="1" s="75">
      <c r="A727" s="58" t="inlineStr">
        <is>
          <t>DHKK-C-III.3.2.74</t>
        </is>
      </c>
      <c r="B727" s="24" t="n"/>
      <c r="C727" s="98" t="inlineStr">
        <is>
          <t>Ống bít đầu 1100x750x L50</t>
        </is>
      </c>
      <c r="D727" s="61" t="inlineStr">
        <is>
          <t>Cái</t>
        </is>
      </c>
      <c r="E727" s="61" t="inlineStr">
        <is>
          <t>Cái</t>
        </is>
      </c>
      <c r="F727" s="88" t="n">
        <v>1</v>
      </c>
      <c r="G727" s="85" t="n">
        <v>1</v>
      </c>
      <c r="H727" s="44">
        <f>IF(OR(ISNUMBER(F727),ISNUMBER(G727)),N(F727)-N(G727),"")</f>
        <v/>
      </c>
      <c r="I727" s="137" t="n"/>
      <c r="J727" s="117">
        <f>IF(OR(ISNUMBER(F727),ISNUMBER(G727)),IF(ISBLANK(G727),"⚠️ Chưa bóc tách định mức",IF(H727&gt;=0,"✅ OK - Cho phép đặt hàng","❌ CHẶN ĐẶT HÀNG - CẦN BẢO VỆ KL")),"")</f>
        <v/>
      </c>
      <c r="K727" s="138">
        <f>IF(OR(ISNUMBER(F727),ISNUMBER(G727)),IF(ISBLANK(G727),"Kỹ sư/Thầu phụ cần bóc tách KL bản vẽ",IF(H727&gt;=0,"Được đặt hàng tối đa "&amp;G727&amp;" "&amp;E727,"Vượt dự toán "&amp;ABS(H727)&amp;" "&amp;E727&amp;" (QS giải trình &amp; duyệt sửa BOQ)")),"")</f>
        <v/>
      </c>
    </row>
    <row r="728" ht="15.6" customHeight="1" s="75">
      <c r="A728" s="58" t="inlineStr">
        <is>
          <t>DHKK-C-III.3.2.75</t>
        </is>
      </c>
      <c r="B728" s="24" t="n"/>
      <c r="C728" s="98" t="inlineStr">
        <is>
          <t>Ống bít đầu 1100x500x L50</t>
        </is>
      </c>
      <c r="D728" s="61" t="inlineStr">
        <is>
          <t>Cái</t>
        </is>
      </c>
      <c r="E728" s="61" t="inlineStr">
        <is>
          <t>Cái</t>
        </is>
      </c>
      <c r="F728" s="88" t="n">
        <v>9</v>
      </c>
      <c r="G728" s="85" t="n">
        <v>9</v>
      </c>
      <c r="H728" s="44">
        <f>IF(OR(ISNUMBER(F728),ISNUMBER(G728)),N(F728)-N(G728),"")</f>
        <v/>
      </c>
      <c r="I728" s="137" t="n"/>
      <c r="J728" s="117">
        <f>IF(OR(ISNUMBER(F728),ISNUMBER(G728)),IF(ISBLANK(G728),"⚠️ Chưa bóc tách định mức",IF(H728&gt;=0,"✅ OK - Cho phép đặt hàng","❌ CHẶN ĐẶT HÀNG - CẦN BẢO VỆ KL")),"")</f>
        <v/>
      </c>
      <c r="K728" s="138">
        <f>IF(OR(ISNUMBER(F728),ISNUMBER(G728)),IF(ISBLANK(G728),"Kỹ sư/Thầu phụ cần bóc tách KL bản vẽ",IF(H728&gt;=0,"Được đặt hàng tối đa "&amp;G728&amp;" "&amp;E728,"Vượt dự toán "&amp;ABS(H728)&amp;" "&amp;E728&amp;" (QS giải trình &amp; duyệt sửa BOQ)")),"")</f>
        <v/>
      </c>
    </row>
    <row r="729" ht="15.6" customHeight="1" s="75">
      <c r="A729" s="58" t="inlineStr">
        <is>
          <t>DHKK-C-III.3.2.76</t>
        </is>
      </c>
      <c r="B729" s="24" t="n"/>
      <c r="C729" s="98" t="inlineStr">
        <is>
          <t>Ống bít đầu 1100x400x L50</t>
        </is>
      </c>
      <c r="D729" s="61" t="inlineStr">
        <is>
          <t>Cái</t>
        </is>
      </c>
      <c r="E729" s="61" t="inlineStr">
        <is>
          <t>Cái</t>
        </is>
      </c>
      <c r="F729" s="88" t="n">
        <v>1</v>
      </c>
      <c r="G729" s="85" t="n">
        <v>1</v>
      </c>
      <c r="H729" s="44">
        <f>IF(OR(ISNUMBER(F729),ISNUMBER(G729)),N(F729)-N(G729),"")</f>
        <v/>
      </c>
      <c r="I729" s="137" t="n"/>
      <c r="J729" s="117">
        <f>IF(OR(ISNUMBER(F729),ISNUMBER(G729)),IF(ISBLANK(G729),"⚠️ Chưa bóc tách định mức",IF(H729&gt;=0,"✅ OK - Cho phép đặt hàng","❌ CHẶN ĐẶT HÀNG - CẦN BẢO VỆ KL")),"")</f>
        <v/>
      </c>
      <c r="K729" s="138">
        <f>IF(OR(ISNUMBER(F729),ISNUMBER(G729)),IF(ISBLANK(G729),"Kỹ sư/Thầu phụ cần bóc tách KL bản vẽ",IF(H729&gt;=0,"Được đặt hàng tối đa "&amp;G729&amp;" "&amp;E729,"Vượt dự toán "&amp;ABS(H729)&amp;" "&amp;E729&amp;" (QS giải trình &amp; duyệt sửa BOQ)")),"")</f>
        <v/>
      </c>
    </row>
    <row r="730" ht="15.6" customHeight="1" s="75">
      <c r="A730" s="58" t="inlineStr">
        <is>
          <t>DHKK-C-III.3.2.77</t>
        </is>
      </c>
      <c r="B730" s="24" t="n"/>
      <c r="C730" s="98" t="inlineStr">
        <is>
          <t>Ống bít đầu 950x700x L50</t>
        </is>
      </c>
      <c r="D730" s="61" t="inlineStr">
        <is>
          <t>Cái</t>
        </is>
      </c>
      <c r="E730" s="61" t="inlineStr">
        <is>
          <t>Cái</t>
        </is>
      </c>
      <c r="F730" s="88" t="n">
        <v>1</v>
      </c>
      <c r="G730" s="85" t="n">
        <v>1</v>
      </c>
      <c r="H730" s="44">
        <f>IF(OR(ISNUMBER(F730),ISNUMBER(G730)),N(F730)-N(G730),"")</f>
        <v/>
      </c>
      <c r="I730" s="137" t="n"/>
      <c r="J730" s="117">
        <f>IF(OR(ISNUMBER(F730),ISNUMBER(G730)),IF(ISBLANK(G730),"⚠️ Chưa bóc tách định mức",IF(H730&gt;=0,"✅ OK - Cho phép đặt hàng","❌ CHẶN ĐẶT HÀNG - CẦN BẢO VỆ KL")),"")</f>
        <v/>
      </c>
      <c r="K730" s="138">
        <f>IF(OR(ISNUMBER(F730),ISNUMBER(G730)),IF(ISBLANK(G730),"Kỹ sư/Thầu phụ cần bóc tách KL bản vẽ",IF(H730&gt;=0,"Được đặt hàng tối đa "&amp;G730&amp;" "&amp;E730,"Vượt dự toán "&amp;ABS(H730)&amp;" "&amp;E730&amp;" (QS giải trình &amp; duyệt sửa BOQ)")),"")</f>
        <v/>
      </c>
    </row>
    <row r="731" ht="15.6" customHeight="1" s="75">
      <c r="A731" s="58" t="inlineStr">
        <is>
          <t>DHKK-C-III.3.2.78</t>
        </is>
      </c>
      <c r="B731" s="24" t="n"/>
      <c r="C731" s="98" t="inlineStr">
        <is>
          <t>Ống bít đầu 650x750x L50</t>
        </is>
      </c>
      <c r="D731" s="61" t="inlineStr">
        <is>
          <t>Cái</t>
        </is>
      </c>
      <c r="E731" s="61" t="inlineStr">
        <is>
          <t>Cái</t>
        </is>
      </c>
      <c r="F731" s="88" t="n">
        <v>1</v>
      </c>
      <c r="G731" s="85" t="n">
        <v>1</v>
      </c>
      <c r="H731" s="44">
        <f>IF(OR(ISNUMBER(F731),ISNUMBER(G731)),N(F731)-N(G731),"")</f>
        <v/>
      </c>
      <c r="I731" s="137" t="n"/>
      <c r="J731" s="117">
        <f>IF(OR(ISNUMBER(F731),ISNUMBER(G731)),IF(ISBLANK(G731),"⚠️ Chưa bóc tách định mức",IF(H731&gt;=0,"✅ OK - Cho phép đặt hàng","❌ CHẶN ĐẶT HÀNG - CẦN BẢO VỆ KL")),"")</f>
        <v/>
      </c>
      <c r="K731" s="138">
        <f>IF(OR(ISNUMBER(F731),ISNUMBER(G731)),IF(ISBLANK(G731),"Kỹ sư/Thầu phụ cần bóc tách KL bản vẽ",IF(H731&gt;=0,"Được đặt hàng tối đa "&amp;G731&amp;" "&amp;E731,"Vượt dự toán "&amp;ABS(H731)&amp;" "&amp;E731&amp;" (QS giải trình &amp; duyệt sửa BOQ)")),"")</f>
        <v/>
      </c>
    </row>
    <row r="732" ht="15.6" customHeight="1" s="75">
      <c r="A732" s="58" t="inlineStr">
        <is>
          <t>DHKK-C-III.3.2.79</t>
        </is>
      </c>
      <c r="B732" s="24" t="n"/>
      <c r="C732" s="98" t="inlineStr">
        <is>
          <t>Ống bít đầu 700x250x L50</t>
        </is>
      </c>
      <c r="D732" s="61" t="inlineStr">
        <is>
          <t>Cái</t>
        </is>
      </c>
      <c r="E732" s="61" t="inlineStr">
        <is>
          <t>Cái</t>
        </is>
      </c>
      <c r="F732" s="88" t="n">
        <v>2</v>
      </c>
      <c r="G732" s="85" t="n">
        <v>2</v>
      </c>
      <c r="H732" s="44">
        <f>IF(OR(ISNUMBER(F732),ISNUMBER(G732)),N(F732)-N(G732),"")</f>
        <v/>
      </c>
      <c r="I732" s="137" t="n"/>
      <c r="J732" s="117">
        <f>IF(OR(ISNUMBER(F732),ISNUMBER(G732)),IF(ISBLANK(G732),"⚠️ Chưa bóc tách định mức",IF(H732&gt;=0,"✅ OK - Cho phép đặt hàng","❌ CHẶN ĐẶT HÀNG - CẦN BẢO VỆ KL")),"")</f>
        <v/>
      </c>
      <c r="K732" s="138">
        <f>IF(OR(ISNUMBER(F732),ISNUMBER(G732)),IF(ISBLANK(G732),"Kỹ sư/Thầu phụ cần bóc tách KL bản vẽ",IF(H732&gt;=0,"Được đặt hàng tối đa "&amp;G732&amp;" "&amp;E732,"Vượt dự toán "&amp;ABS(H732)&amp;" "&amp;E732&amp;" (QS giải trình &amp; duyệt sửa BOQ)")),"")</f>
        <v/>
      </c>
    </row>
    <row r="733" ht="15.6" customHeight="1" s="75">
      <c r="A733" s="58" t="inlineStr">
        <is>
          <t>DHKK-C-III.3.2.80</t>
        </is>
      </c>
      <c r="B733" s="24" t="n"/>
      <c r="C733" s="98" t="n"/>
      <c r="D733" s="61" t="n"/>
      <c r="E733" s="61" t="n"/>
      <c r="F733" s="88" t="n"/>
      <c r="G733" s="85" t="n"/>
      <c r="H733" s="44" t="n"/>
      <c r="I733" s="137" t="n"/>
    </row>
    <row r="734" ht="28.8" customHeight="1" s="75">
      <c r="A734" s="58" t="inlineStr">
        <is>
          <t>DHKK-C-III.3.4.0</t>
        </is>
      </c>
      <c r="B734" s="24" t="n"/>
      <c r="C734" s="98" t="inlineStr">
        <is>
          <t>Ống gió tole mạ kẽm dày 0.75mm, chống cháy EI120</t>
        </is>
      </c>
      <c r="D734" s="61" t="inlineStr">
        <is>
          <t>m2</t>
        </is>
      </c>
      <c r="E734" s="61" t="inlineStr">
        <is>
          <t>m2</t>
        </is>
      </c>
      <c r="F734" s="88" t="n">
        <v>466</v>
      </c>
      <c r="G734" s="85" t="n"/>
      <c r="H734" s="42">
        <f>IF(OR(ISNUMBER(F734),ISNUMBER(G734)),N(F734)-N(G734),"")</f>
        <v/>
      </c>
      <c r="I734" s="137" t="n"/>
      <c r="J734" s="117">
        <f>IF(OR(ISNUMBER(F734),ISNUMBER(G734)),IF(ISBLANK(G734),"⚠️ Chưa bóc tách định mức",IF(H734&gt;=0,"✅ OK - Cho phép đặt hàng","❌ CHẶN ĐẶT HÀNG - CẦN BẢO VỆ KL")),"")</f>
        <v/>
      </c>
      <c r="K734" s="138">
        <f>IF(OR(ISNUMBER(F734),ISNUMBER(G734)),IF(ISBLANK(G734),"Kỹ sư/Thầu phụ cần bóc tách KL bản vẽ",IF(H734&gt;=0,"Được đặt hàng tối đa "&amp;G734&amp;" "&amp;E734,"Vượt dự toán "&amp;ABS(H734)&amp;" "&amp;E734&amp;" (QS giải trình &amp; duyệt sửa BOQ)")),"")</f>
        <v/>
      </c>
    </row>
    <row r="735" ht="28.8" customHeight="1" s="75">
      <c r="A735" s="58" t="inlineStr">
        <is>
          <t>DHKK-C-III.3.5.0</t>
        </is>
      </c>
      <c r="B735" s="24" t="n"/>
      <c r="C735" s="98" t="inlineStr">
        <is>
          <t>Bọc bảo vệ ống gió EI ngoài trời bằng tole mạ kẽm dày 0.58mm</t>
        </is>
      </c>
      <c r="D735" s="61" t="inlineStr">
        <is>
          <t>m2</t>
        </is>
      </c>
      <c r="E735" s="61" t="inlineStr">
        <is>
          <t>m2</t>
        </is>
      </c>
      <c r="F735" s="88" t="n">
        <v>195</v>
      </c>
      <c r="G735" s="85" t="n"/>
      <c r="H735" s="42">
        <f>IF(OR(ISNUMBER(F735),ISNUMBER(G735)),N(F735)-N(G735),"")</f>
        <v/>
      </c>
      <c r="I735" s="137" t="n"/>
      <c r="J735" s="117">
        <f>IF(OR(ISNUMBER(F735),ISNUMBER(G735)),IF(ISBLANK(G735),"⚠️ Chưa bóc tách định mức",IF(H735&gt;=0,"✅ OK - Cho phép đặt hàng","❌ CHẶN ĐẶT HÀNG - CẦN BẢO VỆ KL")),"")</f>
        <v/>
      </c>
      <c r="K735" s="138">
        <f>IF(OR(ISNUMBER(F735),ISNUMBER(G735)),IF(ISBLANK(G735),"Kỹ sư/Thầu phụ cần bóc tách KL bản vẽ",IF(H735&gt;=0,"Được đặt hàng tối đa "&amp;G735&amp;" "&amp;E735,"Vượt dự toán "&amp;ABS(H735)&amp;" "&amp;E735&amp;" (QS giải trình &amp; duyệt sửa BOQ)")),"")</f>
        <v/>
      </c>
    </row>
    <row r="736" ht="13.8" customHeight="1" s="75">
      <c r="A736" s="80" t="n"/>
      <c r="B736" s="24" t="n"/>
      <c r="C736" s="101" t="n"/>
      <c r="D736" s="24" t="n"/>
      <c r="E736" s="24" t="n"/>
      <c r="F736" s="85" t="n"/>
      <c r="G736" s="85" t="n"/>
      <c r="H736" s="44" t="n"/>
      <c r="I736" s="137" t="n"/>
    </row>
    <row r="737" ht="15.6" customHeight="1" s="75">
      <c r="A737" s="58" t="inlineStr">
        <is>
          <t>DHKK-C-III.4.0</t>
        </is>
      </c>
      <c r="B737" s="37" t="n">
        <v>4</v>
      </c>
      <c r="C737" s="98" t="inlineStr">
        <is>
          <t>Phần điều khiển</t>
        </is>
      </c>
      <c r="D737" s="24" t="n"/>
      <c r="E737" s="24" t="n"/>
      <c r="F737" s="85" t="n"/>
      <c r="G737" s="85" t="n"/>
      <c r="H737" s="44" t="n"/>
      <c r="I737" s="137" t="n"/>
    </row>
    <row r="738" ht="15.6" customHeight="1" s="75">
      <c r="A738" s="58" t="inlineStr">
        <is>
          <t>DHKK-C-III.4.1</t>
        </is>
      </c>
      <c r="B738" s="24" t="n"/>
      <c r="C738" s="98" t="inlineStr">
        <is>
          <t>Cảm biến khói</t>
        </is>
      </c>
      <c r="D738" s="61" t="inlineStr">
        <is>
          <t>Bộ</t>
        </is>
      </c>
      <c r="E738" s="61" t="inlineStr">
        <is>
          <t>Bộ</t>
        </is>
      </c>
      <c r="F738" s="88" t="n">
        <v>8</v>
      </c>
      <c r="G738" s="88" t="n">
        <v>8</v>
      </c>
      <c r="H738" s="44">
        <f>IF(OR(ISNUMBER(F738),ISNUMBER(G738)),N(F738)-N(G738),"")</f>
        <v/>
      </c>
      <c r="I738" s="137" t="n"/>
      <c r="J738" s="117">
        <f>IF(OR(ISNUMBER(F738),ISNUMBER(G738)),IF(ISBLANK(G738),"⚠️ Chưa bóc tách định mức",IF(H738&gt;=0,"✅ OK - Cho phép đặt hàng","❌ CHẶN ĐẶT HÀNG - CẦN BẢO VỆ KL")),"")</f>
        <v/>
      </c>
      <c r="K738" s="138">
        <f>IF(OR(ISNUMBER(F738),ISNUMBER(G738)),IF(ISBLANK(G738),"Kỹ sư/Thầu phụ cần bóc tách KL bản vẽ",IF(H738&gt;=0,"Được đặt hàng tối đa "&amp;G738&amp;" "&amp;E738,"Vượt dự toán "&amp;ABS(H738)&amp;" "&amp;E738&amp;" (QS giải trình &amp; duyệt sửa BOQ)")),"")</f>
        <v/>
      </c>
    </row>
    <row r="739" ht="15.6" customHeight="1" s="75">
      <c r="A739" s="58" t="inlineStr">
        <is>
          <t>DHKK-C-III.4.2</t>
        </is>
      </c>
      <c r="B739" s="24" t="n"/>
      <c r="C739" s="98" t="inlineStr">
        <is>
          <t>3x1Cx2.5 mm2 CV-FR</t>
        </is>
      </c>
      <c r="D739" s="61" t="inlineStr">
        <is>
          <t>m</t>
        </is>
      </c>
      <c r="E739" s="61" t="inlineStr">
        <is>
          <t>m</t>
        </is>
      </c>
      <c r="F739" s="88" t="n">
        <v>160</v>
      </c>
      <c r="G739" s="85" t="n"/>
      <c r="H739" s="42">
        <f>IF(OR(ISNUMBER(F739),ISNUMBER(G739)),N(F739)-N(G739),"")</f>
        <v/>
      </c>
      <c r="I739" s="137" t="n"/>
      <c r="J739" s="117">
        <f>IF(OR(ISNUMBER(F739),ISNUMBER(G739)),IF(ISBLANK(G739),"⚠️ Chưa bóc tách định mức",IF(H739&gt;=0,"✅ OK - Cho phép đặt hàng","❌ CHẶN ĐẶT HÀNG - CẦN BẢO VỆ KL")),"")</f>
        <v/>
      </c>
      <c r="K739" s="138">
        <f>IF(OR(ISNUMBER(F739),ISNUMBER(G739)),IF(ISBLANK(G739),"Kỹ sư/Thầu phụ cần bóc tách KL bản vẽ",IF(H739&gt;=0,"Được đặt hàng tối đa "&amp;G739&amp;" "&amp;E739,"Vượt dự toán "&amp;ABS(H739)&amp;" "&amp;E739&amp;" (QS giải trình &amp; duyệt sửa BOQ)")),"")</f>
        <v/>
      </c>
    </row>
    <row r="740" ht="15.6" customHeight="1" s="75">
      <c r="A740" s="58" t="inlineStr">
        <is>
          <t>DHKK-C-III.4.3</t>
        </is>
      </c>
      <c r="B740" s="24" t="n"/>
      <c r="C740" s="98" t="inlineStr">
        <is>
          <t>4C-1.5mm² Cu/PVC/FR</t>
        </is>
      </c>
      <c r="D740" s="61" t="inlineStr">
        <is>
          <t>m</t>
        </is>
      </c>
      <c r="E740" s="61" t="inlineStr">
        <is>
          <t>m</t>
        </is>
      </c>
      <c r="F740" s="88" t="n">
        <v>1400</v>
      </c>
      <c r="G740" s="85" t="n"/>
      <c r="H740" s="42">
        <f>IF(OR(ISNUMBER(F740),ISNUMBER(G740)),N(F740)-N(G740),"")</f>
        <v/>
      </c>
      <c r="I740" s="137" t="n"/>
      <c r="J740" s="117">
        <f>IF(OR(ISNUMBER(F740),ISNUMBER(G740)),IF(ISBLANK(G740),"⚠️ Chưa bóc tách định mức",IF(H740&gt;=0,"✅ OK - Cho phép đặt hàng","❌ CHẶN ĐẶT HÀNG - CẦN BẢO VỆ KL")),"")</f>
        <v/>
      </c>
      <c r="K740" s="138">
        <f>IF(OR(ISNUMBER(F740),ISNUMBER(G740)),IF(ISBLANK(G740),"Kỹ sư/Thầu phụ cần bóc tách KL bản vẽ",IF(H740&gt;=0,"Được đặt hàng tối đa "&amp;G740&amp;" "&amp;E740,"Vượt dự toán "&amp;ABS(H740)&amp;" "&amp;E740&amp;" (QS giải trình &amp; duyệt sửa BOQ)")),"")</f>
        <v/>
      </c>
    </row>
    <row r="741" ht="15.6" customHeight="1" s="75">
      <c r="A741" s="58" t="inlineStr">
        <is>
          <t>DHKK-C-III.4.4</t>
        </is>
      </c>
      <c r="B741" s="24" t="n"/>
      <c r="C741" s="98" t="inlineStr">
        <is>
          <t>Khay cáp 100Wx50H</t>
        </is>
      </c>
      <c r="D741" s="61" t="inlineStr">
        <is>
          <t>m</t>
        </is>
      </c>
      <c r="E741" s="61" t="inlineStr">
        <is>
          <t>m</t>
        </is>
      </c>
      <c r="F741" s="88" t="n">
        <v>90</v>
      </c>
      <c r="G741" s="85" t="n"/>
      <c r="H741" s="42">
        <f>IF(OR(ISNUMBER(F741),ISNUMBER(G741)),N(F741)-N(G741),"")</f>
        <v/>
      </c>
      <c r="I741" s="142" t="inlineStr">
        <is>
          <t>Khay cáp đột lỗ: W100xH50xT1.2 Thép đen sơn tĩnh điện, Kèm nắp</t>
        </is>
      </c>
      <c r="J741" s="117">
        <f>IF(OR(ISNUMBER(F741),ISNUMBER(G741)),IF(ISBLANK(G741),"⚠️ Chưa bóc tách định mức",IF(H741&gt;=0,"✅ OK - Cho phép đặt hàng","❌ CHẶN ĐẶT HÀNG - CẦN BẢO VỆ KL")),"")</f>
        <v/>
      </c>
      <c r="K741" s="138">
        <f>IF(OR(ISNUMBER(F741),ISNUMBER(G741)),IF(ISBLANK(G741),"Kỹ sư/Thầu phụ cần bóc tách KL bản vẽ",IF(H741&gt;=0,"Được đặt hàng tối đa "&amp;G741&amp;" "&amp;E741,"Vượt dự toán "&amp;ABS(H741)&amp;" "&amp;E741&amp;" (QS giải trình &amp; duyệt sửa BOQ)")),"")</f>
        <v/>
      </c>
    </row>
    <row r="742" ht="15.6" customHeight="1" s="75">
      <c r="A742" s="58" t="inlineStr">
        <is>
          <t>DHKK-C-III.4.5</t>
        </is>
      </c>
      <c r="B742" s="24" t="n"/>
      <c r="C742" s="98" t="inlineStr">
        <is>
          <t>Khay cáp 200Wx100H</t>
        </is>
      </c>
      <c r="D742" s="61" t="inlineStr">
        <is>
          <t>m</t>
        </is>
      </c>
      <c r="E742" s="61" t="inlineStr">
        <is>
          <t>m</t>
        </is>
      </c>
      <c r="F742" s="88" t="n">
        <v>0</v>
      </c>
      <c r="G742" s="85" t="n"/>
      <c r="H742" s="44">
        <f>IF(OR(ISNUMBER(F742),ISNUMBER(G742)),N(F742)-N(G742),"")</f>
        <v/>
      </c>
      <c r="I742" s="142" t="inlineStr">
        <is>
          <t>Khay cáp đột lỗ: W200xH100xT1.2 Thép đen sơn tĩnh điện, Kèm nắp</t>
        </is>
      </c>
      <c r="J742" s="117">
        <f>IF(OR(ISNUMBER(F742),ISNUMBER(G742)),IF(ISBLANK(G742),"⚠️ Chưa bóc tách định mức",IF(H742&gt;=0,"✅ OK - Cho phép đặt hàng","❌ CHẶN ĐẶT HÀNG - CẦN BẢO VỆ KL")),"")</f>
        <v/>
      </c>
      <c r="K742" s="138">
        <f>IF(OR(ISNUMBER(F742),ISNUMBER(G742)),IF(ISBLANK(G742),"Kỹ sư/Thầu phụ cần bóc tách KL bản vẽ",IF(H742&gt;=0,"Được đặt hàng tối đa "&amp;G742&amp;" "&amp;E742,"Vượt dự toán "&amp;ABS(H742)&amp;" "&amp;E742&amp;" (QS giải trình &amp; duyệt sửa BOQ)")),"")</f>
        <v/>
      </c>
    </row>
    <row r="743" ht="15.6" customHeight="1" s="75">
      <c r="A743" s="58" t="inlineStr">
        <is>
          <t>DHKK-C-III.4.6</t>
        </is>
      </c>
      <c r="B743" s="24" t="n"/>
      <c r="C743" s="98" t="inlineStr">
        <is>
          <t>Tủ điều khiển DDC</t>
        </is>
      </c>
      <c r="D743" s="61" t="inlineStr">
        <is>
          <t>Bộ</t>
        </is>
      </c>
      <c r="E743" s="61" t="inlineStr">
        <is>
          <t>Bộ</t>
        </is>
      </c>
      <c r="F743" s="88" t="n">
        <v>1</v>
      </c>
      <c r="G743" s="85" t="n"/>
      <c r="H743" s="42">
        <f>IF(OR(ISNUMBER(F743),ISNUMBER(G743)),N(F743)-N(G743),"")</f>
        <v/>
      </c>
      <c r="I743" s="137" t="n"/>
      <c r="J743" s="117">
        <f>IF(OR(ISNUMBER(F743),ISNUMBER(G743)),IF(ISBLANK(G743),"⚠️ Chưa bóc tách định mức",IF(H743&gt;=0,"✅ OK - Cho phép đặt hàng","❌ CHẶN ĐẶT HÀNG - CẦN BẢO VỆ KL")),"")</f>
        <v/>
      </c>
      <c r="K743" s="138">
        <f>IF(OR(ISNUMBER(F743),ISNUMBER(G743)),IF(ISBLANK(G743),"Kỹ sư/Thầu phụ cần bóc tách KL bản vẽ",IF(H743&gt;=0,"Được đặt hàng tối đa "&amp;G743&amp;" "&amp;E743,"Vượt dự toán "&amp;ABS(H743)&amp;" "&amp;E743&amp;" (QS giải trình &amp; duyệt sửa BOQ)")),"")</f>
        <v/>
      </c>
    </row>
    <row r="744" ht="13.8" customHeight="1" s="75">
      <c r="A744" s="80" t="n"/>
      <c r="B744" s="24" t="n"/>
      <c r="C744" s="101" t="n"/>
      <c r="D744" s="24" t="n"/>
      <c r="E744" s="24" t="n"/>
      <c r="F744" s="85" t="n"/>
      <c r="G744" s="85" t="n"/>
      <c r="H744" s="44" t="n"/>
      <c r="I744" s="137" t="n"/>
    </row>
    <row r="745" ht="15.6" customHeight="1" s="75">
      <c r="A745" s="58" t="inlineStr">
        <is>
          <t>DHKK-C-IV</t>
        </is>
      </c>
      <c r="B745" s="33" t="inlineStr">
        <is>
          <t>IV</t>
        </is>
      </c>
      <c r="C745" s="97" t="inlineStr">
        <is>
          <t>HỆ THỐNG THÔNG GIÓ CHUNG</t>
        </is>
      </c>
      <c r="D745" s="34" t="n"/>
      <c r="E745" s="34" t="n"/>
      <c r="F745" s="87" t="n"/>
      <c r="G745" s="87" t="n"/>
      <c r="H745" s="35" t="n"/>
      <c r="I745" s="144" t="n"/>
    </row>
    <row r="746" ht="15.6" customHeight="1" s="75">
      <c r="A746" s="58" t="inlineStr">
        <is>
          <t>DHKK-C-IV.1.0</t>
        </is>
      </c>
      <c r="B746" s="37" t="n">
        <v>1</v>
      </c>
      <c r="C746" s="98" t="inlineStr">
        <is>
          <t>Quạt thông gió</t>
        </is>
      </c>
      <c r="D746" s="24" t="n"/>
      <c r="E746" s="24" t="n"/>
      <c r="F746" s="85" t="n"/>
      <c r="G746" s="85" t="n"/>
      <c r="H746" s="44" t="n"/>
      <c r="I746" s="137" t="n"/>
    </row>
    <row r="747" ht="56.1" customHeight="1" s="75">
      <c r="A747" s="58" t="inlineStr">
        <is>
          <t>DHKK-C-IV.1.1</t>
        </is>
      </c>
      <c r="B747" s="24" t="n"/>
      <c r="C747" s="99" t="inlineStr">
        <is>
          <t>Quạt cấp bù khí kiểu hướng trục nối ống gió FAF-A-4F-01
 + Lưu lượng: 1660 l/s
 + Áp suất : 250 Pa</t>
        </is>
      </c>
      <c r="D747" s="61" t="inlineStr">
        <is>
          <t>Bộ</t>
        </is>
      </c>
      <c r="E747" s="61" t="inlineStr">
        <is>
          <t>Bộ</t>
        </is>
      </c>
      <c r="F747" s="88" t="n">
        <v>1</v>
      </c>
      <c r="G747" s="88" t="n">
        <v>1</v>
      </c>
      <c r="H747" s="44">
        <f>IF(OR(ISNUMBER(F747),ISNUMBER(G747)),N(F747)-N(G747),"")</f>
        <v/>
      </c>
      <c r="I747" s="137" t="n"/>
      <c r="J747" s="117">
        <f>IF(OR(ISNUMBER(F747),ISNUMBER(G747)),IF(ISBLANK(G747),"⚠️ Chưa bóc tách định mức",IF(H747&gt;=0,"✅ OK - Cho phép đặt hàng","❌ CHẶN ĐẶT HÀNG - CẦN BẢO VỆ KL")),"")</f>
        <v/>
      </c>
      <c r="K747" s="138">
        <f>IF(OR(ISNUMBER(F747),ISNUMBER(G747)),IF(ISBLANK(G747),"Kỹ sư/Thầu phụ cần bóc tách KL bản vẽ",IF(H747&gt;=0,"Được đặt hàng tối đa "&amp;G747&amp;" "&amp;E747,"Vượt dự toán "&amp;ABS(H747)&amp;" "&amp;E747&amp;" (QS giải trình &amp; duyệt sửa BOQ)")),"")</f>
        <v/>
      </c>
    </row>
    <row r="748" ht="56.1" customHeight="1" s="75">
      <c r="A748" s="58" t="inlineStr">
        <is>
          <t>DHKK-C-IV.1.2</t>
        </is>
      </c>
      <c r="B748" s="24" t="n"/>
      <c r="C748" s="99" t="inlineStr">
        <is>
          <t>Quạt hút khí kiểu hướng trục nối ống gió EAF-A-R-01,02
 + Lưu lượng: 900 l/s
 + Áp suất : 400 Pa</t>
        </is>
      </c>
      <c r="D748" s="61" t="inlineStr">
        <is>
          <t>Bộ</t>
        </is>
      </c>
      <c r="E748" s="61" t="inlineStr">
        <is>
          <t>Bộ</t>
        </is>
      </c>
      <c r="F748" s="88" t="n">
        <v>2</v>
      </c>
      <c r="G748" s="88" t="n">
        <v>2</v>
      </c>
      <c r="H748" s="44">
        <f>IF(OR(ISNUMBER(F748),ISNUMBER(G748)),N(F748)-N(G748),"")</f>
        <v/>
      </c>
      <c r="I748" s="137" t="n"/>
      <c r="J748" s="117">
        <f>IF(OR(ISNUMBER(F748),ISNUMBER(G748)),IF(ISBLANK(G748),"⚠️ Chưa bóc tách định mức",IF(H748&gt;=0,"✅ OK - Cho phép đặt hàng","❌ CHẶN ĐẶT HÀNG - CẦN BẢO VỆ KL")),"")</f>
        <v/>
      </c>
      <c r="K748" s="138">
        <f>IF(OR(ISNUMBER(F748),ISNUMBER(G748)),IF(ISBLANK(G748),"Kỹ sư/Thầu phụ cần bóc tách KL bản vẽ",IF(H748&gt;=0,"Được đặt hàng tối đa "&amp;G748&amp;" "&amp;E748,"Vượt dự toán "&amp;ABS(H748)&amp;" "&amp;E748&amp;" (QS giải trình &amp; duyệt sửa BOQ)")),"")</f>
        <v/>
      </c>
    </row>
    <row r="749" ht="56.1" customHeight="1" s="75">
      <c r="A749" s="58" t="inlineStr">
        <is>
          <t>DHKK-C-IV.1.3</t>
        </is>
      </c>
      <c r="B749" s="24" t="n"/>
      <c r="C749" s="99" t="inlineStr">
        <is>
          <t>Quạt hút khí kiểu ly tâm - inline nối ống gió EAF-30F-01
 + Lưu lượng: 150 l/s
 + Áp suất : 80 Pa</t>
        </is>
      </c>
      <c r="D749" s="61" t="inlineStr">
        <is>
          <t>Bộ</t>
        </is>
      </c>
      <c r="E749" s="61" t="inlineStr">
        <is>
          <t>Bộ</t>
        </is>
      </c>
      <c r="F749" s="88" t="n">
        <v>1</v>
      </c>
      <c r="G749" s="88" t="n">
        <v>1</v>
      </c>
      <c r="H749" s="44">
        <f>IF(OR(ISNUMBER(F749),ISNUMBER(G749)),N(F749)-N(G749),"")</f>
        <v/>
      </c>
      <c r="I749" s="137" t="n"/>
      <c r="J749" s="117">
        <f>IF(OR(ISNUMBER(F749),ISNUMBER(G749)),IF(ISBLANK(G749),"⚠️ Chưa bóc tách định mức",IF(H749&gt;=0,"✅ OK - Cho phép đặt hàng","❌ CHẶN ĐẶT HÀNG - CẦN BẢO VỆ KL")),"")</f>
        <v/>
      </c>
      <c r="K749" s="138">
        <f>IF(OR(ISNUMBER(F749),ISNUMBER(G749)),IF(ISBLANK(G749),"Kỹ sư/Thầu phụ cần bóc tách KL bản vẽ",IF(H749&gt;=0,"Được đặt hàng tối đa "&amp;G749&amp;" "&amp;E749,"Vượt dự toán "&amp;ABS(H749)&amp;" "&amp;E749&amp;" (QS giải trình &amp; duyệt sửa BOQ)")),"")</f>
        <v/>
      </c>
    </row>
    <row r="750" ht="56.1" customHeight="1" s="75">
      <c r="A750" s="58" t="inlineStr">
        <is>
          <t>DHKK-C-IV.1.4</t>
        </is>
      </c>
      <c r="B750" s="24" t="n"/>
      <c r="C750" s="99" t="inlineStr">
        <is>
          <t>Quạt hút khí kiểu ly tâm - inline nối ống gió EAF-36F-01
 + Lưu lượng: 150 l/s
 + Áp suất : 80 Pa</t>
        </is>
      </c>
      <c r="D750" s="61" t="inlineStr">
        <is>
          <t>Bộ</t>
        </is>
      </c>
      <c r="E750" s="61" t="inlineStr">
        <is>
          <t>Bộ</t>
        </is>
      </c>
      <c r="F750" s="88" t="n">
        <v>0</v>
      </c>
      <c r="G750" s="85" t="n"/>
      <c r="H750" s="44">
        <f>IF(OR(ISNUMBER(F750),ISNUMBER(G750)),N(F750)-N(G750),"")</f>
        <v/>
      </c>
      <c r="I750" s="137" t="n"/>
      <c r="J750" s="117">
        <f>IF(OR(ISNUMBER(F750),ISNUMBER(G750)),IF(ISBLANK(G750),"⚠️ Chưa bóc tách định mức",IF(H750&gt;=0,"✅ OK - Cho phép đặt hàng","❌ CHẶN ĐẶT HÀNG - CẦN BẢO VỆ KL")),"")</f>
        <v/>
      </c>
      <c r="K750" s="138">
        <f>IF(OR(ISNUMBER(F750),ISNUMBER(G750)),IF(ISBLANK(G750),"Kỹ sư/Thầu phụ cần bóc tách KL bản vẽ",IF(H750&gt;=0,"Được đặt hàng tối đa "&amp;G750&amp;" "&amp;E750,"Vượt dự toán "&amp;ABS(H750)&amp;" "&amp;E750&amp;" (QS giải trình &amp; duyệt sửa BOQ)")),"")</f>
        <v/>
      </c>
    </row>
    <row r="751" ht="56.1" customHeight="1" s="75">
      <c r="A751" s="58" t="inlineStr">
        <is>
          <t>DHKK-C-IV.1.5</t>
        </is>
      </c>
      <c r="B751" s="24" t="n"/>
      <c r="C751" s="99" t="inlineStr">
        <is>
          <t>Quạt hút khí kiểu hướng trục nối ống gió EAF-B-R-01,02
 + Lưu lượng: 1100 l/s
 + Áp suất : 450 Pa</t>
        </is>
      </c>
      <c r="D751" s="61" t="inlineStr">
        <is>
          <t>Bộ</t>
        </is>
      </c>
      <c r="E751" s="61" t="inlineStr">
        <is>
          <t>Bộ</t>
        </is>
      </c>
      <c r="F751" s="88" t="n">
        <v>0</v>
      </c>
      <c r="G751" s="85" t="n"/>
      <c r="H751" s="44">
        <f>IF(OR(ISNUMBER(F751),ISNUMBER(G751)),N(F751)-N(G751),"")</f>
        <v/>
      </c>
      <c r="I751" s="137" t="n"/>
      <c r="J751" s="117">
        <f>IF(OR(ISNUMBER(F751),ISNUMBER(G751)),IF(ISBLANK(G751),"⚠️ Chưa bóc tách định mức",IF(H751&gt;=0,"✅ OK - Cho phép đặt hàng","❌ CHẶN ĐẶT HÀNG - CẦN BẢO VỆ KL")),"")</f>
        <v/>
      </c>
      <c r="K751" s="138">
        <f>IF(OR(ISNUMBER(F751),ISNUMBER(G751)),IF(ISBLANK(G751),"Kỹ sư/Thầu phụ cần bóc tách KL bản vẽ",IF(H751&gt;=0,"Được đặt hàng tối đa "&amp;G751&amp;" "&amp;E751,"Vượt dự toán "&amp;ABS(H751)&amp;" "&amp;E751&amp;" (QS giải trình &amp; duyệt sửa BOQ)")),"")</f>
        <v/>
      </c>
    </row>
    <row r="752" ht="56.1" customHeight="1" s="75">
      <c r="A752" s="58" t="inlineStr">
        <is>
          <t>DHKK-C-IV.1.6</t>
        </is>
      </c>
      <c r="B752" s="24" t="n"/>
      <c r="C752" s="99" t="inlineStr">
        <is>
          <t>Quạt hút khí kiểu hướng trục nối ống gió EAF-B-R-05
 + Lưu lượng: 2000 l/s
 + Áp suất : 450 Pa</t>
        </is>
      </c>
      <c r="D752" s="61" t="inlineStr">
        <is>
          <t>Bộ</t>
        </is>
      </c>
      <c r="E752" s="61" t="inlineStr">
        <is>
          <t>Bộ</t>
        </is>
      </c>
      <c r="F752" s="88" t="n">
        <v>0</v>
      </c>
      <c r="G752" s="85" t="n"/>
      <c r="H752" s="44">
        <f>IF(OR(ISNUMBER(F752),ISNUMBER(G752)),N(F752)-N(G752),"")</f>
        <v/>
      </c>
      <c r="I752" s="137" t="n"/>
      <c r="J752" s="117">
        <f>IF(OR(ISNUMBER(F752),ISNUMBER(G752)),IF(ISBLANK(G752),"⚠️ Chưa bóc tách định mức",IF(H752&gt;=0,"✅ OK - Cho phép đặt hàng","❌ CHẶN ĐẶT HÀNG - CẦN BẢO VỆ KL")),"")</f>
        <v/>
      </c>
      <c r="K752" s="138">
        <f>IF(OR(ISNUMBER(F752),ISNUMBER(G752)),IF(ISBLANK(G752),"Kỹ sư/Thầu phụ cần bóc tách KL bản vẽ",IF(H752&gt;=0,"Được đặt hàng tối đa "&amp;G752&amp;" "&amp;E752,"Vượt dự toán "&amp;ABS(H752)&amp;" "&amp;E752&amp;" (QS giải trình &amp; duyệt sửa BOQ)")),"")</f>
        <v/>
      </c>
    </row>
    <row r="753" ht="42.3" customHeight="1" s="75">
      <c r="A753" s="58" t="inlineStr">
        <is>
          <t>DHKK-C-IV.1.7</t>
        </is>
      </c>
      <c r="B753" s="24" t="n"/>
      <c r="C753" s="99" t="inlineStr">
        <is>
          <t>Quạt gắn tường EAF
 + Lưu lượng: 200 l/s
 + Áp suất: 50 Pa</t>
        </is>
      </c>
      <c r="D753" s="61" t="inlineStr">
        <is>
          <t>Bộ</t>
        </is>
      </c>
      <c r="E753" s="61" t="inlineStr">
        <is>
          <t>Bộ</t>
        </is>
      </c>
      <c r="F753" s="88" t="n">
        <v>0</v>
      </c>
      <c r="G753" s="85" t="n"/>
      <c r="H753" s="44">
        <f>IF(OR(ISNUMBER(F753),ISNUMBER(G753)),N(F753)-N(G753),"")</f>
        <v/>
      </c>
      <c r="I753" s="137" t="n"/>
      <c r="J753" s="117">
        <f>IF(OR(ISNUMBER(F753),ISNUMBER(G753)),IF(ISBLANK(G753),"⚠️ Chưa bóc tách định mức",IF(H753&gt;=0,"✅ OK - Cho phép đặt hàng","❌ CHẶN ĐẶT HÀNG - CẦN BẢO VỆ KL")),"")</f>
        <v/>
      </c>
      <c r="K753" s="138">
        <f>IF(OR(ISNUMBER(F753),ISNUMBER(G753)),IF(ISBLANK(G753),"Kỹ sư/Thầu phụ cần bóc tách KL bản vẽ",IF(H753&gt;=0,"Được đặt hàng tối đa "&amp;G753&amp;" "&amp;E753,"Vượt dự toán "&amp;ABS(H753)&amp;" "&amp;E753&amp;" (QS giải trình &amp; duyệt sửa BOQ)")),"")</f>
        <v/>
      </c>
    </row>
    <row r="754" ht="15.6" customHeight="1" s="75">
      <c r="A754" s="58" t="inlineStr">
        <is>
          <t>DHKK-C-IV.1.8</t>
        </is>
      </c>
      <c r="B754" s="24" t="n"/>
      <c r="C754" s="99" t="inlineStr">
        <is>
          <t>Nối mềm cho quạt</t>
        </is>
      </c>
      <c r="D754" s="61" t="inlineStr">
        <is>
          <t>Bộ</t>
        </is>
      </c>
      <c r="E754" s="61" t="inlineStr">
        <is>
          <t>Bộ</t>
        </is>
      </c>
      <c r="F754" s="88" t="n">
        <v>4</v>
      </c>
      <c r="G754" s="85" t="n"/>
      <c r="H754" s="42">
        <f>IF(OR(ISNUMBER(F754),ISNUMBER(G754)),N(F754)-N(G754),"")</f>
        <v/>
      </c>
      <c r="I754" s="142" t="inlineStr">
        <is>
          <t>1 bộ gồm 2 cái</t>
        </is>
      </c>
      <c r="J754" s="117">
        <f>IF(OR(ISNUMBER(F754),ISNUMBER(G754)),IF(ISBLANK(G754),"⚠️ Chưa bóc tách định mức",IF(H754&gt;=0,"✅ OK - Cho phép đặt hàng","❌ CHẶN ĐẶT HÀNG - CẦN BẢO VỆ KL")),"")</f>
        <v/>
      </c>
      <c r="K754" s="138">
        <f>IF(OR(ISNUMBER(F754),ISNUMBER(G754)),IF(ISBLANK(G754),"Kỹ sư/Thầu phụ cần bóc tách KL bản vẽ",IF(H754&gt;=0,"Được đặt hàng tối đa "&amp;G754&amp;" "&amp;E754,"Vượt dự toán "&amp;ABS(H754)&amp;" "&amp;E754&amp;" (QS giải trình &amp; duyệt sửa BOQ)")),"")</f>
        <v/>
      </c>
    </row>
    <row r="755" ht="13.8" customHeight="1" s="75">
      <c r="A755" s="80" t="n"/>
      <c r="B755" s="24" t="n"/>
      <c r="C755" s="101" t="n"/>
      <c r="D755" s="24" t="n"/>
      <c r="E755" s="24" t="n"/>
      <c r="F755" s="85" t="n"/>
      <c r="G755" s="85" t="n"/>
      <c r="H755" s="44" t="n"/>
      <c r="I755" s="137" t="n"/>
    </row>
    <row r="756" ht="15.6" customHeight="1" s="75">
      <c r="A756" s="58" t="inlineStr">
        <is>
          <t>DHKK-C-IV.2.0</t>
        </is>
      </c>
      <c r="B756" s="37" t="n">
        <v>2</v>
      </c>
      <c r="C756" s="98" t="inlineStr">
        <is>
          <t>Miệng gió, van gió</t>
        </is>
      </c>
      <c r="D756" s="24" t="n"/>
      <c r="E756" s="24" t="n"/>
      <c r="F756" s="85" t="n"/>
      <c r="G756" s="85" t="n"/>
      <c r="H756" s="44" t="n"/>
      <c r="I756" s="137" t="n"/>
    </row>
    <row r="757" ht="15.6" customHeight="1" s="75">
      <c r="A757" s="58" t="inlineStr">
        <is>
          <t>DHKK-C-IV.2.1</t>
        </is>
      </c>
      <c r="B757" s="24" t="n"/>
      <c r="C757" s="98" t="inlineStr">
        <is>
          <t>EAL 500x250+I.S</t>
        </is>
      </c>
      <c r="D757" s="61" t="inlineStr">
        <is>
          <t>Cái</t>
        </is>
      </c>
      <c r="E757" s="61" t="inlineStr">
        <is>
          <t>Cái</t>
        </is>
      </c>
      <c r="F757" s="88" t="n">
        <v>1</v>
      </c>
      <c r="G757" s="85" t="n"/>
      <c r="H757" s="42">
        <f>IF(OR(ISNUMBER(F757),ISNUMBER(G757)),N(F757)-N(G757),"")</f>
        <v/>
      </c>
      <c r="I757" s="142" t="inlineStr">
        <is>
          <t>Louver nan Z kèm LCCT</t>
        </is>
      </c>
      <c r="J757" s="117">
        <f>IF(OR(ISNUMBER(F757),ISNUMBER(G757)),IF(ISBLANK(G757),"⚠️ Chưa bóc tách định mức",IF(H757&gt;=0,"✅ OK - Cho phép đặt hàng","❌ CHẶN ĐẶT HÀNG - CẦN BẢO VỆ KL")),"")</f>
        <v/>
      </c>
      <c r="K757" s="138">
        <f>IF(OR(ISNUMBER(F757),ISNUMBER(G757)),IF(ISBLANK(G757),"Kỹ sư/Thầu phụ cần bóc tách KL bản vẽ",IF(H757&gt;=0,"Được đặt hàng tối đa "&amp;G757&amp;" "&amp;E757,"Vượt dự toán "&amp;ABS(H757)&amp;" "&amp;E757&amp;" (QS giải trình &amp; duyệt sửa BOQ)")),"")</f>
        <v/>
      </c>
    </row>
    <row r="758" ht="15.6" customHeight="1" s="75">
      <c r="A758" s="58" t="inlineStr">
        <is>
          <t>DHKK-C-IV.2.2</t>
        </is>
      </c>
      <c r="B758" s="24" t="n"/>
      <c r="C758" s="98" t="inlineStr">
        <is>
          <t>FAL 800x400+I.S</t>
        </is>
      </c>
      <c r="D758" s="61" t="inlineStr">
        <is>
          <t>Cái</t>
        </is>
      </c>
      <c r="E758" s="61" t="inlineStr">
        <is>
          <t>Cái</t>
        </is>
      </c>
      <c r="F758" s="88" t="n">
        <v>0</v>
      </c>
      <c r="G758" s="85" t="n"/>
      <c r="H758" s="44">
        <f>IF(OR(ISNUMBER(F758),ISNUMBER(G758)),N(F758)-N(G758),"")</f>
        <v/>
      </c>
      <c r="I758" s="142" t="inlineStr">
        <is>
          <t>Louver nan Z kèm LCCT</t>
        </is>
      </c>
      <c r="J758" s="117">
        <f>IF(OR(ISNUMBER(F758),ISNUMBER(G758)),IF(ISBLANK(G758),"⚠️ Chưa bóc tách định mức",IF(H758&gt;=0,"✅ OK - Cho phép đặt hàng","❌ CHẶN ĐẶT HÀNG - CẦN BẢO VỆ KL")),"")</f>
        <v/>
      </c>
      <c r="K758" s="138">
        <f>IF(OR(ISNUMBER(F758),ISNUMBER(G758)),IF(ISBLANK(G758),"Kỹ sư/Thầu phụ cần bóc tách KL bản vẽ",IF(H758&gt;=0,"Được đặt hàng tối đa "&amp;G758&amp;" "&amp;E758,"Vượt dự toán "&amp;ABS(H758)&amp;" "&amp;E758&amp;" (QS giải trình &amp; duyệt sửa BOQ)")),"")</f>
        <v/>
      </c>
    </row>
    <row r="759" ht="15.6" customHeight="1" s="75">
      <c r="A759" s="58" t="inlineStr">
        <is>
          <t>DHKK-C-IV.2.3</t>
        </is>
      </c>
      <c r="B759" s="24" t="n"/>
      <c r="C759" s="98" t="inlineStr">
        <is>
          <t>FAL 1500x500+I.S</t>
        </is>
      </c>
      <c r="D759" s="61" t="inlineStr">
        <is>
          <t>Cái</t>
        </is>
      </c>
      <c r="E759" s="61" t="inlineStr">
        <is>
          <t>Cái</t>
        </is>
      </c>
      <c r="F759" s="88" t="n">
        <v>1</v>
      </c>
      <c r="G759" s="85" t="n"/>
      <c r="H759" s="42">
        <f>IF(OR(ISNUMBER(F759),ISNUMBER(G759)),N(F759)-N(G759),"")</f>
        <v/>
      </c>
      <c r="I759" s="142" t="inlineStr">
        <is>
          <t>Louver nan Z kèm LCCT</t>
        </is>
      </c>
      <c r="J759" s="117">
        <f>IF(OR(ISNUMBER(F759),ISNUMBER(G759)),IF(ISBLANK(G759),"⚠️ Chưa bóc tách định mức",IF(H759&gt;=0,"✅ OK - Cho phép đặt hàng","❌ CHẶN ĐẶT HÀNG - CẦN BẢO VỆ KL")),"")</f>
        <v/>
      </c>
      <c r="K759" s="138">
        <f>IF(OR(ISNUMBER(F759),ISNUMBER(G759)),IF(ISBLANK(G759),"Kỹ sư/Thầu phụ cần bóc tách KL bản vẽ",IF(H759&gt;=0,"Được đặt hàng tối đa "&amp;G759&amp;" "&amp;E759,"Vượt dự toán "&amp;ABS(H759)&amp;" "&amp;E759&amp;" (QS giải trình &amp; duyệt sửa BOQ)")),"")</f>
        <v/>
      </c>
    </row>
    <row r="760" ht="15.6" customHeight="1" s="75">
      <c r="A760" s="58" t="inlineStr">
        <is>
          <t>DHKK-C-IV.2.4</t>
        </is>
      </c>
      <c r="B760" s="24" t="n"/>
      <c r="C760" s="98" t="inlineStr">
        <is>
          <t>EAG 150x150</t>
        </is>
      </c>
      <c r="D760" s="61" t="inlineStr">
        <is>
          <t>Cái</t>
        </is>
      </c>
      <c r="E760" s="61" t="inlineStr">
        <is>
          <t>Cái</t>
        </is>
      </c>
      <c r="F760" s="88" t="n">
        <v>55</v>
      </c>
      <c r="G760" s="88" t="n">
        <v>52</v>
      </c>
      <c r="H760" s="42">
        <f>IF(OR(ISNUMBER(F760),ISNUMBER(G760)),N(F760)-N(G760),"")</f>
        <v/>
      </c>
      <c r="I760" s="142" t="inlineStr">
        <is>
          <t>Miệng gió loại nan bầu dục 1 lớp nan kèm OBD</t>
        </is>
      </c>
      <c r="J760" s="117">
        <f>IF(OR(ISNUMBER(F760),ISNUMBER(G760)),IF(ISBLANK(G760),"⚠️ Chưa bóc tách định mức",IF(H760&gt;=0,"✅ OK - Cho phép đặt hàng","❌ CHẶN ĐẶT HÀNG - CẦN BẢO VỆ KL")),"")</f>
        <v/>
      </c>
      <c r="K760" s="138">
        <f>IF(OR(ISNUMBER(F760),ISNUMBER(G760)),IF(ISBLANK(G760),"Kỹ sư/Thầu phụ cần bóc tách KL bản vẽ",IF(H760&gt;=0,"Được đặt hàng tối đa "&amp;G760&amp;" "&amp;E760,"Vượt dự toán "&amp;ABS(H760)&amp;" "&amp;E760&amp;" (QS giải trình &amp; duyệt sửa BOQ)")),"")</f>
        <v/>
      </c>
    </row>
    <row r="761" ht="15.6" customHeight="1" s="75">
      <c r="A761" s="58" t="inlineStr">
        <is>
          <t>DHKK-C-IV.2.5</t>
        </is>
      </c>
      <c r="B761" s="24" t="n"/>
      <c r="C761" s="98" t="inlineStr">
        <is>
          <t>EAG 150x150+OBD</t>
        </is>
      </c>
      <c r="D761" s="61" t="inlineStr">
        <is>
          <t>Cái</t>
        </is>
      </c>
      <c r="E761" s="61" t="inlineStr">
        <is>
          <t>Cái</t>
        </is>
      </c>
      <c r="F761" s="88" t="n">
        <v>60</v>
      </c>
      <c r="G761" s="88" t="n">
        <v>52</v>
      </c>
      <c r="H761" s="42">
        <f>IF(OR(ISNUMBER(F761),ISNUMBER(G761)),N(F761)-N(G761),"")</f>
        <v/>
      </c>
      <c r="I761" s="142" t="inlineStr">
        <is>
          <t>Miệng gió loại nan bầu dục 1 lớp nan kèm OBD</t>
        </is>
      </c>
      <c r="J761" s="117">
        <f>IF(OR(ISNUMBER(F761),ISNUMBER(G761)),IF(ISBLANK(G761),"⚠️ Chưa bóc tách định mức",IF(H761&gt;=0,"✅ OK - Cho phép đặt hàng","❌ CHẶN ĐẶT HÀNG - CẦN BẢO VỆ KL")),"")</f>
        <v/>
      </c>
      <c r="K761" s="138">
        <f>IF(OR(ISNUMBER(F761),ISNUMBER(G761)),IF(ISBLANK(G761),"Kỹ sư/Thầu phụ cần bóc tách KL bản vẽ",IF(H761&gt;=0,"Được đặt hàng tối đa "&amp;G761&amp;" "&amp;E761,"Vượt dự toán "&amp;ABS(H761)&amp;" "&amp;E761&amp;" (QS giải trình &amp; duyệt sửa BOQ)")),"")</f>
        <v/>
      </c>
    </row>
    <row r="762" ht="15.6" customHeight="1" s="75">
      <c r="A762" s="58" t="inlineStr">
        <is>
          <t>DHKK-C-IV.2.6</t>
        </is>
      </c>
      <c r="B762" s="24" t="n"/>
      <c r="C762" s="98" t="inlineStr">
        <is>
          <t>FD 150x150</t>
        </is>
      </c>
      <c r="D762" s="61" t="inlineStr">
        <is>
          <t>Cái</t>
        </is>
      </c>
      <c r="E762" s="61" t="inlineStr">
        <is>
          <t>Cái</t>
        </is>
      </c>
      <c r="F762" s="88" t="n">
        <v>112</v>
      </c>
      <c r="G762" s="88" t="n">
        <v>104</v>
      </c>
      <c r="H762" s="42">
        <f>IF(OR(ISNUMBER(F762),ISNUMBER(G762)),N(F762)-N(G762),"")</f>
        <v/>
      </c>
      <c r="I762" s="142" t="inlineStr">
        <is>
          <t>EI60</t>
        </is>
      </c>
      <c r="J762" s="117">
        <f>IF(OR(ISNUMBER(F762),ISNUMBER(G762)),IF(ISBLANK(G762),"⚠️ Chưa bóc tách định mức",IF(H762&gt;=0,"✅ OK - Cho phép đặt hàng","❌ CHẶN ĐẶT HÀNG - CẦN BẢO VỆ KL")),"")</f>
        <v/>
      </c>
      <c r="K762" s="138">
        <f>IF(OR(ISNUMBER(F762),ISNUMBER(G762)),IF(ISBLANK(G762),"Kỹ sư/Thầu phụ cần bóc tách KL bản vẽ",IF(H762&gt;=0,"Được đặt hàng tối đa "&amp;G762&amp;" "&amp;E762,"Vượt dự toán "&amp;ABS(H762)&amp;" "&amp;E762&amp;" (QS giải trình &amp; duyệt sửa BOQ)")),"")</f>
        <v/>
      </c>
    </row>
    <row r="763" ht="15.6" customHeight="1" s="75">
      <c r="A763" s="58" t="inlineStr">
        <is>
          <t>DHKK-C-IV.2.7</t>
        </is>
      </c>
      <c r="B763" s="24" t="n"/>
      <c r="C763" s="98" t="inlineStr">
        <is>
          <t>FD 1000x300</t>
        </is>
      </c>
      <c r="D763" s="61" t="inlineStr">
        <is>
          <t>Cái</t>
        </is>
      </c>
      <c r="E763" s="61" t="inlineStr">
        <is>
          <t>Cái</t>
        </is>
      </c>
      <c r="F763" s="88" t="n">
        <v>0</v>
      </c>
      <c r="G763" s="85" t="n"/>
      <c r="H763" s="44">
        <f>IF(OR(ISNUMBER(F763),ISNUMBER(G763)),N(F763)-N(G763),"")</f>
        <v/>
      </c>
      <c r="I763" s="142" t="inlineStr">
        <is>
          <t>EI60</t>
        </is>
      </c>
      <c r="J763" s="117">
        <f>IF(OR(ISNUMBER(F763),ISNUMBER(G763)),IF(ISBLANK(G763),"⚠️ Chưa bóc tách định mức",IF(H763&gt;=0,"✅ OK - Cho phép đặt hàng","❌ CHẶN ĐẶT HÀNG - CẦN BẢO VỆ KL")),"")</f>
        <v/>
      </c>
      <c r="K763" s="138">
        <f>IF(OR(ISNUMBER(F763),ISNUMBER(G763)),IF(ISBLANK(G763),"Kỹ sư/Thầu phụ cần bóc tách KL bản vẽ",IF(H763&gt;=0,"Được đặt hàng tối đa "&amp;G763&amp;" "&amp;E763,"Vượt dự toán "&amp;ABS(H763)&amp;" "&amp;E763&amp;" (QS giải trình &amp; duyệt sửa BOQ)")),"")</f>
        <v/>
      </c>
    </row>
    <row r="764" ht="13.8" customHeight="1" s="75">
      <c r="A764" s="80" t="n"/>
      <c r="B764" s="24" t="n"/>
      <c r="C764" s="101" t="n"/>
      <c r="D764" s="24" t="n"/>
      <c r="E764" s="24" t="n"/>
      <c r="F764" s="85" t="n"/>
      <c r="G764" s="85" t="n"/>
      <c r="H764" s="44" t="n"/>
      <c r="I764" s="137" t="n"/>
    </row>
    <row r="765" ht="15.6" customHeight="1" s="75">
      <c r="A765" s="58" t="inlineStr">
        <is>
          <t>DHKK-C-IV.3.0</t>
        </is>
      </c>
      <c r="B765" s="37" t="n">
        <v>3</v>
      </c>
      <c r="C765" s="98" t="inlineStr">
        <is>
          <t>Ống gió</t>
        </is>
      </c>
      <c r="D765" s="24" t="n"/>
      <c r="E765" s="24" t="n"/>
      <c r="F765" s="85" t="n"/>
      <c r="G765" s="85" t="n"/>
      <c r="H765" s="44" t="n"/>
      <c r="I765" s="137" t="n"/>
    </row>
    <row r="766" ht="15.6" customHeight="1" s="75">
      <c r="A766" s="58" t="inlineStr">
        <is>
          <t>DHKK-C-IV.3.1.0</t>
        </is>
      </c>
      <c r="B766" s="24" t="n"/>
      <c r="C766" s="98" t="inlineStr">
        <is>
          <t>Ống gió tole mạ kẽm dày 0.75mm</t>
        </is>
      </c>
      <c r="D766" s="61" t="inlineStr">
        <is>
          <t>m2</t>
        </is>
      </c>
      <c r="E766" s="61" t="inlineStr">
        <is>
          <t>m2</t>
        </is>
      </c>
      <c r="F766" s="88" t="n">
        <v>363</v>
      </c>
      <c r="G766" s="88" t="n">
        <v>312</v>
      </c>
      <c r="H766" s="42">
        <f>IF(OR(ISNUMBER(F766),ISNUMBER(G766)),N(F766)-N(G766),"")</f>
        <v/>
      </c>
      <c r="I766" s="137" t="n"/>
      <c r="J766" s="117">
        <f>IF(OR(ISNUMBER(F766),ISNUMBER(G766)),IF(ISBLANK(G766),"⚠️ Chưa bóc tách định mức",IF(H766&gt;=0,"✅ OK - Cho phép đặt hàng","❌ CHẶN ĐẶT HÀNG - CẦN BẢO VỆ KL")),"")</f>
        <v/>
      </c>
      <c r="K766" s="138">
        <f>IF(OR(ISNUMBER(F766),ISNUMBER(G766)),IF(ISBLANK(G766),"Kỹ sư/Thầu phụ cần bóc tách KL bản vẽ",IF(H766&gt;=0,"Được đặt hàng tối đa "&amp;G766&amp;" "&amp;E766,"Vượt dự toán "&amp;ABS(H766)&amp;" "&amp;E766&amp;" (QS giải trình &amp; duyệt sửa BOQ)")),"")</f>
        <v/>
      </c>
    </row>
    <row r="767" ht="15.6" customHeight="1" s="75">
      <c r="A767" s="58" t="inlineStr">
        <is>
          <t>DHKK-C-IV.3.1.1</t>
        </is>
      </c>
      <c r="B767" s="24" t="n"/>
      <c r="C767" s="99" t="inlineStr">
        <is>
          <t>Ống 700x250 L1110</t>
        </is>
      </c>
      <c r="D767" s="61" t="inlineStr">
        <is>
          <t>Cái</t>
        </is>
      </c>
      <c r="E767" s="61" t="inlineStr">
        <is>
          <t>Cái</t>
        </is>
      </c>
      <c r="F767" s="88" t="n">
        <v>104</v>
      </c>
      <c r="G767" s="88" t="n">
        <v>104</v>
      </c>
      <c r="H767" s="44">
        <f>IF(OR(ISNUMBER(F767),ISNUMBER(G767)),N(F767)-N(G767),"")</f>
        <v/>
      </c>
      <c r="I767" s="137" t="n"/>
      <c r="J767" s="117">
        <f>IF(OR(ISNUMBER(F767),ISNUMBER(G767)),IF(ISBLANK(G767),"⚠️ Chưa bóc tách định mức",IF(H767&gt;=0,"✅ OK - Cho phép đặt hàng","❌ CHẶN ĐẶT HÀNG - CẦN BẢO VỆ KL")),"")</f>
        <v/>
      </c>
      <c r="K767" s="138">
        <f>IF(OR(ISNUMBER(F767),ISNUMBER(G767)),IF(ISBLANK(G767),"Kỹ sư/Thầu phụ cần bóc tách KL bản vẽ",IF(H767&gt;=0,"Được đặt hàng tối đa "&amp;G767&amp;" "&amp;E767,"Vượt dự toán "&amp;ABS(H767)&amp;" "&amp;E767&amp;" (QS giải trình &amp; duyệt sửa BOQ)")),"")</f>
        <v/>
      </c>
    </row>
    <row r="768" ht="15.6" customHeight="1" s="75">
      <c r="A768" s="58" t="inlineStr">
        <is>
          <t>DHKK-C-IV.3.1.2</t>
        </is>
      </c>
      <c r="B768" s="24" t="n"/>
      <c r="C768" s="99" t="inlineStr">
        <is>
          <t>Ống 700x250 L940</t>
        </is>
      </c>
      <c r="D768" s="61" t="inlineStr">
        <is>
          <t>Cái</t>
        </is>
      </c>
      <c r="E768" s="61" t="inlineStr">
        <is>
          <t>Cái</t>
        </is>
      </c>
      <c r="F768" s="88" t="n">
        <v>52</v>
      </c>
      <c r="G768" s="88" t="n">
        <v>52</v>
      </c>
      <c r="H768" s="44">
        <f>IF(OR(ISNUMBER(F768),ISNUMBER(G768)),N(F768)-N(G768),"")</f>
        <v/>
      </c>
      <c r="I768" s="137" t="n"/>
      <c r="J768" s="117">
        <f>IF(OR(ISNUMBER(F768),ISNUMBER(G768)),IF(ISBLANK(G768),"⚠️ Chưa bóc tách định mức",IF(H768&gt;=0,"✅ OK - Cho phép đặt hàng","❌ CHẶN ĐẶT HÀNG - CẦN BẢO VỆ KL")),"")</f>
        <v/>
      </c>
      <c r="K768" s="138">
        <f>IF(OR(ISNUMBER(F768),ISNUMBER(G768)),IF(ISBLANK(G768),"Kỹ sư/Thầu phụ cần bóc tách KL bản vẽ",IF(H768&gt;=0,"Được đặt hàng tối đa "&amp;G768&amp;" "&amp;E768,"Vượt dự toán "&amp;ABS(H768)&amp;" "&amp;E768&amp;" (QS giải trình &amp; duyệt sửa BOQ)")),"")</f>
        <v/>
      </c>
    </row>
    <row r="769" ht="15.6" customHeight="1" s="75">
      <c r="A769" s="58" t="inlineStr">
        <is>
          <t>DHKK-C-IV.3.1.3</t>
        </is>
      </c>
      <c r="B769" s="24" t="n"/>
      <c r="C769" s="99" t="inlineStr">
        <is>
          <t>Nẹp Clip L1200</t>
        </is>
      </c>
      <c r="D769" s="61" t="inlineStr">
        <is>
          <t>Cây</t>
        </is>
      </c>
      <c r="E769" s="61" t="inlineStr">
        <is>
          <t>Cây</t>
        </is>
      </c>
      <c r="F769" s="88" t="n">
        <v>3900</v>
      </c>
      <c r="G769" s="88" t="n">
        <v>3900</v>
      </c>
      <c r="H769" s="44">
        <f>IF(OR(ISNUMBER(F769),ISNUMBER(G769)),N(F769)-N(G769),"")</f>
        <v/>
      </c>
      <c r="I769" s="137" t="n"/>
      <c r="J769" s="117">
        <f>IF(OR(ISNUMBER(F769),ISNUMBER(G769)),IF(ISBLANK(G769),"⚠️ Chưa bóc tách định mức",IF(H769&gt;=0,"✅ OK - Cho phép đặt hàng","❌ CHẶN ĐẶT HÀNG - CẦN BẢO VỆ KL")),"")</f>
        <v/>
      </c>
      <c r="K769" s="138">
        <f>IF(OR(ISNUMBER(F769),ISNUMBER(G769)),IF(ISBLANK(G769),"Kỹ sư/Thầu phụ cần bóc tách KL bản vẽ",IF(H769&gt;=0,"Được đặt hàng tối đa "&amp;G769&amp;" "&amp;E769,"Vượt dự toán "&amp;ABS(H769)&amp;" "&amp;E769&amp;" (QS giải trình &amp; duyệt sửa BOQ)")),"")</f>
        <v/>
      </c>
    </row>
    <row r="770" ht="15.6" customHeight="1" s="75">
      <c r="A770" s="58" t="inlineStr">
        <is>
          <t>DHKK-C-IV.3.1.4</t>
        </is>
      </c>
      <c r="B770" s="24" t="n"/>
      <c r="C770" s="98" t="inlineStr">
        <is>
          <t>Ống 700x250 L1110</t>
        </is>
      </c>
      <c r="D770" s="61" t="inlineStr">
        <is>
          <t>Ống</t>
        </is>
      </c>
      <c r="E770" s="61" t="inlineStr">
        <is>
          <t>Ống</t>
        </is>
      </c>
      <c r="F770" s="88" t="n">
        <v>14</v>
      </c>
      <c r="G770" s="88" t="n">
        <v>14</v>
      </c>
      <c r="H770" s="63">
        <f>IF(OR(ISNUMBER(F770),ISNUMBER(G770)),N(F770)-N(G770),"")</f>
        <v/>
      </c>
      <c r="I770" s="137" t="n"/>
      <c r="J770" s="117">
        <f>IF(OR(ISNUMBER(F770),ISNUMBER(G770)),IF(ISBLANK(G770),"⚠️ Chưa bóc tách định mức",IF(H770&gt;=0,"✅ OK - Cho phép đặt hàng","❌ CHẶN ĐẶT HÀNG - CẦN BẢO VỆ KL")),"")</f>
        <v/>
      </c>
      <c r="K770" s="138">
        <f>IF(OR(ISNUMBER(F770),ISNUMBER(G770)),IF(ISBLANK(G770),"Kỹ sư/Thầu phụ cần bóc tách KL bản vẽ",IF(H770&gt;=0,"Được đặt hàng tối đa "&amp;G770&amp;" "&amp;E770,"Vượt dự toán "&amp;ABS(H770)&amp;" "&amp;E770&amp;" (QS giải trình &amp; duyệt sửa BOQ)")),"")</f>
        <v/>
      </c>
    </row>
    <row r="771" ht="15.6" customHeight="1" s="75">
      <c r="A771" s="58" t="inlineStr">
        <is>
          <t>DHKK-C-IV.3.1.5</t>
        </is>
      </c>
      <c r="B771" s="24" t="n"/>
      <c r="C771" s="98" t="inlineStr">
        <is>
          <t>Ống 700x250 L500</t>
        </is>
      </c>
      <c r="D771" s="61" t="inlineStr">
        <is>
          <t>Ống</t>
        </is>
      </c>
      <c r="E771" s="61" t="inlineStr">
        <is>
          <t>Ống</t>
        </is>
      </c>
      <c r="F771" s="88" t="n">
        <v>2</v>
      </c>
      <c r="G771" s="88" t="n">
        <v>2</v>
      </c>
      <c r="H771" s="63">
        <f>IF(OR(ISNUMBER(F771),ISNUMBER(G771)),N(F771)-N(G771),"")</f>
        <v/>
      </c>
      <c r="I771" s="137" t="n"/>
      <c r="J771" s="117">
        <f>IF(OR(ISNUMBER(F771),ISNUMBER(G771)),IF(ISBLANK(G771),"⚠️ Chưa bóc tách định mức",IF(H771&gt;=0,"✅ OK - Cho phép đặt hàng","❌ CHẶN ĐẶT HÀNG - CẦN BẢO VỆ KL")),"")</f>
        <v/>
      </c>
      <c r="K771" s="138">
        <f>IF(OR(ISNUMBER(F771),ISNUMBER(G771)),IF(ISBLANK(G771),"Kỹ sư/Thầu phụ cần bóc tách KL bản vẽ",IF(H771&gt;=0,"Được đặt hàng tối đa "&amp;G771&amp;" "&amp;E771,"Vượt dự toán "&amp;ABS(H771)&amp;" "&amp;E771&amp;" (QS giải trình &amp; duyệt sửa BOQ)")),"")</f>
        <v/>
      </c>
    </row>
    <row r="772" ht="15.6" customHeight="1" s="75">
      <c r="A772" s="58" t="inlineStr">
        <is>
          <t>DHKK-C-IV.3.1.6</t>
        </is>
      </c>
      <c r="B772" s="24" t="n"/>
      <c r="C772" s="98" t="inlineStr">
        <is>
          <t>Ống 700x250 L</t>
        </is>
      </c>
      <c r="D772" s="61" t="inlineStr">
        <is>
          <t>Ống</t>
        </is>
      </c>
      <c r="E772" s="61" t="inlineStr">
        <is>
          <t>Ống</t>
        </is>
      </c>
      <c r="F772" s="88" t="n">
        <v>4</v>
      </c>
      <c r="G772" s="88" t="n">
        <v>4</v>
      </c>
      <c r="H772" s="63">
        <f>IF(OR(ISNUMBER(F772),ISNUMBER(G772)),N(F772)-N(G772),"")</f>
        <v/>
      </c>
      <c r="I772" s="137" t="n"/>
      <c r="J772" s="117">
        <f>IF(OR(ISNUMBER(F772),ISNUMBER(G772)),IF(ISBLANK(G772),"⚠️ Chưa bóc tách định mức",IF(H772&gt;=0,"✅ OK - Cho phép đặt hàng","❌ CHẶN ĐẶT HÀNG - CẦN BẢO VỆ KL")),"")</f>
        <v/>
      </c>
      <c r="K772" s="138">
        <f>IF(OR(ISNUMBER(F772),ISNUMBER(G772)),IF(ISBLANK(G772),"Kỹ sư/Thầu phụ cần bóc tách KL bản vẽ",IF(H772&gt;=0,"Được đặt hàng tối đa "&amp;G772&amp;" "&amp;E772,"Vượt dự toán "&amp;ABS(H772)&amp;" "&amp;E772&amp;" (QS giải trình &amp; duyệt sửa BOQ)")),"")</f>
        <v/>
      </c>
    </row>
    <row r="773" ht="15.6" customHeight="1" s="75">
      <c r="A773" s="58" t="inlineStr">
        <is>
          <t>DHKK-C-IV.3.1.7</t>
        </is>
      </c>
      <c r="B773" s="24" t="n"/>
      <c r="C773" s="98" t="inlineStr">
        <is>
          <t>Co 90 250x700 R150</t>
        </is>
      </c>
      <c r="D773" s="61" t="inlineStr">
        <is>
          <t>Ống</t>
        </is>
      </c>
      <c r="E773" s="61" t="inlineStr">
        <is>
          <t>Ống</t>
        </is>
      </c>
      <c r="F773" s="88" t="n">
        <v>2</v>
      </c>
      <c r="G773" s="88" t="n">
        <v>2</v>
      </c>
      <c r="H773" s="63">
        <f>IF(OR(ISNUMBER(F773),ISNUMBER(G773)),N(F773)-N(G773),"")</f>
        <v/>
      </c>
      <c r="I773" s="137" t="n"/>
      <c r="J773" s="117">
        <f>IF(OR(ISNUMBER(F773),ISNUMBER(G773)),IF(ISBLANK(G773),"⚠️ Chưa bóc tách định mức",IF(H773&gt;=0,"✅ OK - Cho phép đặt hàng","❌ CHẶN ĐẶT HÀNG - CẦN BẢO VỆ KL")),"")</f>
        <v/>
      </c>
      <c r="K773" s="138">
        <f>IF(OR(ISNUMBER(F773),ISNUMBER(G773)),IF(ISBLANK(G773),"Kỹ sư/Thầu phụ cần bóc tách KL bản vẽ",IF(H773&gt;=0,"Được đặt hàng tối đa "&amp;G773&amp;" "&amp;E773,"Vượt dự toán "&amp;ABS(H773)&amp;" "&amp;E773&amp;" (QS giải trình &amp; duyệt sửa BOQ)")),"")</f>
        <v/>
      </c>
    </row>
    <row r="774" ht="15.6" customHeight="1" s="75">
      <c r="A774" s="58" t="inlineStr">
        <is>
          <t>DHKK-C-IV.3.1.8</t>
        </is>
      </c>
      <c r="B774" s="24" t="n"/>
      <c r="C774" s="98" t="inlineStr">
        <is>
          <t>Lượn 250x700 E50 L200</t>
        </is>
      </c>
      <c r="D774" s="61" t="inlineStr">
        <is>
          <t>Ống</t>
        </is>
      </c>
      <c r="E774" s="61" t="inlineStr">
        <is>
          <t>Ống</t>
        </is>
      </c>
      <c r="F774" s="88" t="n">
        <v>2</v>
      </c>
      <c r="G774" s="88" t="n">
        <v>2</v>
      </c>
      <c r="H774" s="63">
        <f>IF(OR(ISNUMBER(F774),ISNUMBER(G774)),N(F774)-N(G774),"")</f>
        <v/>
      </c>
      <c r="I774" s="137" t="n"/>
      <c r="J774" s="117">
        <f>IF(OR(ISNUMBER(F774),ISNUMBER(G774)),IF(ISBLANK(G774),"⚠️ Chưa bóc tách định mức",IF(H774&gt;=0,"✅ OK - Cho phép đặt hàng","❌ CHẶN ĐẶT HÀNG - CẦN BẢO VỆ KL")),"")</f>
        <v/>
      </c>
      <c r="K774" s="138">
        <f>IF(OR(ISNUMBER(F774),ISNUMBER(G774)),IF(ISBLANK(G774),"Kỹ sư/Thầu phụ cần bóc tách KL bản vẽ",IF(H774&gt;=0,"Được đặt hàng tối đa "&amp;G774&amp;" "&amp;E774,"Vượt dự toán "&amp;ABS(H774)&amp;" "&amp;E774&amp;" (QS giải trình &amp; duyệt sửa BOQ)")),"")</f>
        <v/>
      </c>
    </row>
    <row r="775" ht="15.6" customHeight="1" s="75">
      <c r="A775" s="58" t="n"/>
      <c r="B775" s="24" t="n"/>
      <c r="C775" s="98" t="n"/>
      <c r="D775" s="61" t="n"/>
      <c r="E775" s="61" t="n"/>
      <c r="F775" s="88" t="n"/>
      <c r="G775" s="88" t="n"/>
      <c r="H775" s="63" t="n"/>
      <c r="I775" s="137" t="n"/>
    </row>
    <row r="776" ht="15.6" customHeight="1" s="75">
      <c r="A776" s="58" t="n"/>
      <c r="B776" s="24" t="n"/>
      <c r="C776" s="98" t="n"/>
      <c r="D776" s="61" t="n"/>
      <c r="E776" s="61" t="n"/>
      <c r="F776" s="88" t="n"/>
      <c r="G776" s="88" t="n"/>
      <c r="H776" s="63" t="n"/>
      <c r="I776" s="137" t="n"/>
    </row>
    <row r="777" ht="15.6" customHeight="1" s="75">
      <c r="A777" s="58" t="inlineStr">
        <is>
          <t>DHKK-C-IV.3.2.0</t>
        </is>
      </c>
      <c r="B777" s="24" t="n"/>
      <c r="C777" s="98" t="inlineStr">
        <is>
          <t>Ống gió tole mạ kẽm dày 0.58mm</t>
        </is>
      </c>
      <c r="D777" s="61" t="inlineStr">
        <is>
          <t>m2</t>
        </is>
      </c>
      <c r="E777" s="61" t="inlineStr">
        <is>
          <t>m2</t>
        </is>
      </c>
      <c r="F777" s="88" t="n">
        <v>27</v>
      </c>
      <c r="G777" s="88" t="n">
        <v>20</v>
      </c>
      <c r="H777" s="42">
        <f>IF(OR(ISNUMBER(F777),ISNUMBER(G777)),N(F777)-N(G777),"")</f>
        <v/>
      </c>
      <c r="I777" s="137" t="n"/>
      <c r="J777" s="117">
        <f>IF(OR(ISNUMBER(F777),ISNUMBER(G777)),IF(ISBLANK(G777),"⚠️ Chưa bóc tách định mức",IF(H777&gt;=0,"✅ OK - Cho phép đặt hàng","❌ CHẶN ĐẶT HÀNG - CẦN BẢO VỆ KL")),"")</f>
        <v/>
      </c>
      <c r="K777" s="138">
        <f>IF(OR(ISNUMBER(F777),ISNUMBER(G777)),IF(ISBLANK(G777),"Kỹ sư/Thầu phụ cần bóc tách KL bản vẽ",IF(H777&gt;=0,"Được đặt hàng tối đa "&amp;G777&amp;" "&amp;E777,"Vượt dự toán "&amp;ABS(H777)&amp;" "&amp;E777&amp;" (QS giải trình &amp; duyệt sửa BOQ)")),"")</f>
        <v/>
      </c>
    </row>
    <row r="778" ht="15.6" customHeight="1" s="75">
      <c r="A778" s="65" t="inlineStr">
        <is>
          <t>DHKK-C-IV.3.2.1</t>
        </is>
      </c>
      <c r="B778" s="24" t="n"/>
      <c r="C778" s="107" t="inlineStr">
        <is>
          <t>Bù 160x160 L100</t>
        </is>
      </c>
      <c r="D778" s="61" t="inlineStr">
        <is>
          <t>Cái</t>
        </is>
      </c>
      <c r="E778" s="66" t="inlineStr">
        <is>
          <t>Cái</t>
        </is>
      </c>
      <c r="F778" s="90" t="n">
        <v>2</v>
      </c>
      <c r="G778" s="90" t="n">
        <v>2</v>
      </c>
      <c r="H778" s="44">
        <f>IF(OR(ISNUMBER(F778),ISNUMBER(G778)),N(F778)-N(G778),"")</f>
        <v/>
      </c>
      <c r="I778" s="137" t="n"/>
      <c r="J778" s="117">
        <f>IF(OR(ISNUMBER(F778),ISNUMBER(G778)),IF(ISBLANK(G778),"⚠️ Chưa bóc tách định mức",IF(H778&gt;=0,"✅ OK - Cho phép đặt hàng","❌ CHẶN ĐẶT HÀNG - CẦN BẢO VỆ KL")),"")</f>
        <v/>
      </c>
      <c r="K778" s="138">
        <f>IF(OR(ISNUMBER(F778),ISNUMBER(G778)),IF(ISBLANK(G778),"Kỹ sư/Thầu phụ cần bóc tách KL bản vẽ",IF(H778&gt;=0,"Được đặt hàng tối đa "&amp;G778&amp;" "&amp;E778,"Vượt dự toán "&amp;ABS(H778)&amp;" "&amp;E778&amp;" (QS giải trình &amp; duyệt sửa BOQ)")),"")</f>
        <v/>
      </c>
    </row>
    <row r="779" ht="15.6" customHeight="1" s="75">
      <c r="A779" s="65" t="inlineStr">
        <is>
          <t>DHKK-C-IV.3.2.2</t>
        </is>
      </c>
      <c r="B779" s="24" t="n"/>
      <c r="C779" s="107" t="inlineStr">
        <is>
          <t>Gót MG 260x160/160x160 L401</t>
        </is>
      </c>
      <c r="D779" s="61" t="inlineStr">
        <is>
          <t>Cái</t>
        </is>
      </c>
      <c r="E779" s="66" t="inlineStr">
        <is>
          <t>Cái</t>
        </is>
      </c>
      <c r="F779" s="90" t="n">
        <v>102</v>
      </c>
      <c r="G779" s="90" t="n">
        <v>102</v>
      </c>
      <c r="H779" s="44">
        <f>IF(OR(ISNUMBER(F779),ISNUMBER(G779)),N(F779)-N(G779),"")</f>
        <v/>
      </c>
      <c r="I779" s="150" t="n"/>
      <c r="J779" s="117">
        <f>IF(OR(ISNUMBER(F779),ISNUMBER(G779)),IF(ISBLANK(G779),"⚠️ Chưa bóc tách định mức",IF(H779&gt;=0,"✅ OK - Cho phép đặt hàng","❌ CHẶN ĐẶT HÀNG - CẦN BẢO VỆ KL")),"")</f>
        <v/>
      </c>
      <c r="K779" s="138">
        <f>IF(OR(ISNUMBER(F779),ISNUMBER(G779)),IF(ISBLANK(G779),"Kỹ sư/Thầu phụ cần bóc tách KL bản vẽ",IF(H779&gt;=0,"Được đặt hàng tối đa "&amp;G779&amp;" "&amp;E779,"Vượt dự toán "&amp;ABS(H779)&amp;" "&amp;E779&amp;" (QS giải trình &amp; duyệt sửa BOQ)")),"")</f>
        <v/>
      </c>
    </row>
    <row r="780" ht="13.8" customHeight="1" s="75">
      <c r="A780" s="80" t="n"/>
      <c r="B780" s="24" t="n"/>
      <c r="C780" s="101" t="n"/>
      <c r="D780" s="24" t="n"/>
      <c r="E780" s="24" t="n"/>
      <c r="F780" s="88" t="n">
        <v>0</v>
      </c>
      <c r="G780" s="85" t="n"/>
      <c r="H780" s="44">
        <f>IF(OR(ISNUMBER(F780),ISNUMBER(G780)),N(F780)-N(G780),"")</f>
        <v/>
      </c>
      <c r="I780" s="137" t="n"/>
      <c r="J780" s="117">
        <f>IF(OR(ISNUMBER(F780),ISNUMBER(G780)),IF(ISBLANK(G780),"⚠️ Chưa bóc tách định mức",IF(H780&gt;=0,"✅ OK - Cho phép đặt hàng","❌ CHẶN ĐẶT HÀNG - CẦN BẢO VỆ KL")),"")</f>
        <v/>
      </c>
      <c r="K780" s="138">
        <f>IF(OR(ISNUMBER(F780),ISNUMBER(G780)),IF(ISBLANK(G780),"Kỹ sư/Thầu phụ cần bóc tách KL bản vẽ",IF(H780&gt;=0,"Được đặt hàng tối đa "&amp;G780&amp;" "&amp;E780,"Vượt dự toán "&amp;ABS(H780)&amp;" "&amp;E780&amp;" (QS giải trình &amp; duyệt sửa BOQ)")),"")</f>
        <v/>
      </c>
    </row>
    <row r="781" ht="15.6" customHeight="1" s="75">
      <c r="A781" s="58" t="inlineStr">
        <is>
          <t>DHKK-C-V</t>
        </is>
      </c>
      <c r="B781" s="33" t="inlineStr">
        <is>
          <t>V</t>
        </is>
      </c>
      <c r="C781" s="97" t="inlineStr">
        <is>
          <t>HỆ THỐNG THÔNG GIÓ XỬ LÝ MÙI BỂ TỰ HOẠI</t>
        </is>
      </c>
      <c r="D781" s="34" t="n"/>
      <c r="E781" s="34" t="n"/>
      <c r="F781" s="87" t="n"/>
      <c r="G781" s="87" t="n"/>
      <c r="H781" s="35" t="n"/>
      <c r="I781" s="144" t="n"/>
    </row>
    <row r="782" ht="15.6" customHeight="1" s="75">
      <c r="A782" s="58" t="inlineStr">
        <is>
          <t>DHKK-C-V.1.0</t>
        </is>
      </c>
      <c r="B782" s="37" t="n">
        <v>1</v>
      </c>
      <c r="C782" s="98" t="inlineStr">
        <is>
          <t>Quạt thông gió</t>
        </is>
      </c>
      <c r="D782" s="24" t="n"/>
      <c r="E782" s="24" t="n"/>
      <c r="F782" s="85" t="n"/>
      <c r="G782" s="85" t="n"/>
      <c r="H782" s="44" t="n"/>
      <c r="I782" s="137" t="n"/>
    </row>
    <row r="783" ht="56.1" customHeight="1" s="75">
      <c r="A783" s="58" t="inlineStr">
        <is>
          <t>DHKK-C-V.1.1</t>
        </is>
      </c>
      <c r="B783" s="24" t="n"/>
      <c r="C783" s="99" t="inlineStr">
        <is>
          <t>Quạt hút khí kiểu hướng trục nối ống gió EAF-A-R-01
 + Lưu lượng: 1000 m3/h
 + Áp suất : 400 Pa</t>
        </is>
      </c>
      <c r="D783" s="61" t="inlineStr">
        <is>
          <t>Bộ</t>
        </is>
      </c>
      <c r="E783" s="61" t="inlineStr">
        <is>
          <t>Bộ</t>
        </is>
      </c>
      <c r="F783" s="88" t="n">
        <v>1</v>
      </c>
      <c r="G783" s="88" t="n">
        <v>1</v>
      </c>
      <c r="H783" s="44">
        <f>IF(OR(ISNUMBER(F783),ISNUMBER(G783)),N(F783)-N(G783),"")</f>
        <v/>
      </c>
      <c r="I783" s="137" t="n"/>
      <c r="J783" s="117">
        <f>IF(OR(ISNUMBER(F783),ISNUMBER(G783)),IF(ISBLANK(G783),"⚠️ Chưa bóc tách định mức",IF(H783&gt;=0,"✅ OK - Cho phép đặt hàng","❌ CHẶN ĐẶT HÀNG - CẦN BẢO VỆ KL")),"")</f>
        <v/>
      </c>
      <c r="K783" s="138">
        <f>IF(OR(ISNUMBER(F783),ISNUMBER(G783)),IF(ISBLANK(G783),"Kỹ sư/Thầu phụ cần bóc tách KL bản vẽ",IF(H783&gt;=0,"Được đặt hàng tối đa "&amp;G783&amp;" "&amp;E783,"Vượt dự toán "&amp;ABS(H783)&amp;" "&amp;E783&amp;" (QS giải trình &amp; duyệt sửa BOQ)")),"")</f>
        <v/>
      </c>
    </row>
    <row r="784" ht="15.6" customHeight="1" s="75">
      <c r="A784" s="58" t="inlineStr">
        <is>
          <t>DHKK-C-V.1.2</t>
        </is>
      </c>
      <c r="B784" s="24" t="n"/>
      <c r="C784" s="101" t="n"/>
      <c r="D784" s="61" t="inlineStr">
        <is>
          <t>Bộ</t>
        </is>
      </c>
      <c r="E784" s="61" t="inlineStr">
        <is>
          <t>Bộ</t>
        </is>
      </c>
      <c r="F784" s="88" t="n">
        <v>0</v>
      </c>
      <c r="G784" s="88" t="n">
        <v>0</v>
      </c>
      <c r="H784" s="44">
        <f>IF(OR(ISNUMBER(F784),ISNUMBER(G784)),N(F784)-N(G784),"")</f>
        <v/>
      </c>
      <c r="I784" s="137" t="n"/>
      <c r="J784" s="117">
        <f>IF(OR(ISNUMBER(F784),ISNUMBER(G784)),IF(ISBLANK(G784),"⚠️ Chưa bóc tách định mức",IF(H784&gt;=0,"✅ OK - Cho phép đặt hàng","❌ CHẶN ĐẶT HÀNG - CẦN BẢO VỆ KL")),"")</f>
        <v/>
      </c>
      <c r="K784" s="138">
        <f>IF(OR(ISNUMBER(F784),ISNUMBER(G784)),IF(ISBLANK(G784),"Kỹ sư/Thầu phụ cần bóc tách KL bản vẽ",IF(H784&gt;=0,"Được đặt hàng tối đa "&amp;G784&amp;" "&amp;E784,"Vượt dự toán "&amp;ABS(H784)&amp;" "&amp;E784&amp;" (QS giải trình &amp; duyệt sửa BOQ)")),"")</f>
        <v/>
      </c>
    </row>
    <row r="785" ht="15.6" customHeight="1" s="75">
      <c r="A785" s="58" t="inlineStr">
        <is>
          <t>DHKK-C-V.1.3</t>
        </is>
      </c>
      <c r="B785" s="24" t="n"/>
      <c r="C785" s="99" t="inlineStr">
        <is>
          <t>Tháp khử mùi Q= 1000 m3/h</t>
        </is>
      </c>
      <c r="D785" s="61" t="inlineStr">
        <is>
          <t>Bộ</t>
        </is>
      </c>
      <c r="E785" s="61" t="inlineStr">
        <is>
          <t>Bộ</t>
        </is>
      </c>
      <c r="F785" s="88" t="n">
        <v>1</v>
      </c>
      <c r="G785" s="88" t="n">
        <v>1</v>
      </c>
      <c r="H785" s="44">
        <f>IF(OR(ISNUMBER(F785),ISNUMBER(G785)),N(F785)-N(G785),"")</f>
        <v/>
      </c>
      <c r="I785" s="137" t="n"/>
      <c r="J785" s="117">
        <f>IF(OR(ISNUMBER(F785),ISNUMBER(G785)),IF(ISBLANK(G785),"⚠️ Chưa bóc tách định mức",IF(H785&gt;=0,"✅ OK - Cho phép đặt hàng","❌ CHẶN ĐẶT HÀNG - CẦN BẢO VỆ KL")),"")</f>
        <v/>
      </c>
      <c r="K785" s="138">
        <f>IF(OR(ISNUMBER(F785),ISNUMBER(G785)),IF(ISBLANK(G785),"Kỹ sư/Thầu phụ cần bóc tách KL bản vẽ",IF(H785&gt;=0,"Được đặt hàng tối đa "&amp;G785&amp;" "&amp;E785,"Vượt dự toán "&amp;ABS(H785)&amp;" "&amp;E785&amp;" (QS giải trình &amp; duyệt sửa BOQ)")),"")</f>
        <v/>
      </c>
    </row>
    <row r="786" ht="15.6" customHeight="1" s="75">
      <c r="A786" s="58" t="inlineStr">
        <is>
          <t>DHKK-C-V.1.4</t>
        </is>
      </c>
      <c r="B786" s="24" t="n"/>
      <c r="C786" s="99" t="inlineStr">
        <is>
          <t>Tháp khử mùi Q= 500 m3/h</t>
        </is>
      </c>
      <c r="D786" s="61" t="inlineStr">
        <is>
          <t>Bộ</t>
        </is>
      </c>
      <c r="E786" s="61" t="inlineStr">
        <is>
          <t>Bộ</t>
        </is>
      </c>
      <c r="F786" s="88" t="n">
        <v>0</v>
      </c>
      <c r="G786" s="88" t="inlineStr">
        <is>
          <t>-</t>
        </is>
      </c>
      <c r="H786" s="44">
        <f>IF(OR(ISNUMBER(F786),ISNUMBER(G786)),N(F786)-N(G786),"")</f>
        <v/>
      </c>
      <c r="I786" s="137" t="n"/>
      <c r="J786" s="117">
        <f>IF(OR(ISNUMBER(F786),ISNUMBER(G786)),IF(ISBLANK(G786),"⚠️ Chưa bóc tách định mức",IF(H786&gt;=0,"✅ OK - Cho phép đặt hàng","❌ CHẶN ĐẶT HÀNG - CẦN BẢO VỆ KL")),"")</f>
        <v/>
      </c>
      <c r="K786" s="138">
        <f>IF(OR(ISNUMBER(F786),ISNUMBER(G786)),IF(ISBLANK(G786),"Kỹ sư/Thầu phụ cần bóc tách KL bản vẽ",IF(H786&gt;=0,"Được đặt hàng tối đa "&amp;G786&amp;" "&amp;E786,"Vượt dự toán "&amp;ABS(H786)&amp;" "&amp;E786&amp;" (QS giải trình &amp; duyệt sửa BOQ)")),"")</f>
        <v/>
      </c>
    </row>
    <row r="787" ht="15.6" customHeight="1" s="75">
      <c r="A787" s="58" t="inlineStr">
        <is>
          <t>DHKK-C-V.1.5</t>
        </is>
      </c>
      <c r="B787" s="24" t="n"/>
      <c r="C787" s="99" t="inlineStr">
        <is>
          <t>Nối mềm cho quạt</t>
        </is>
      </c>
      <c r="D787" s="61" t="inlineStr">
        <is>
          <t>Bộ</t>
        </is>
      </c>
      <c r="E787" s="61" t="inlineStr">
        <is>
          <t>Bộ</t>
        </is>
      </c>
      <c r="F787" s="88" t="n">
        <v>1</v>
      </c>
      <c r="G787" s="88" t="n">
        <v>1</v>
      </c>
      <c r="H787" s="44">
        <f>IF(OR(ISNUMBER(F787),ISNUMBER(G787)),N(F787)-N(G787),"")</f>
        <v/>
      </c>
      <c r="I787" s="142" t="inlineStr">
        <is>
          <t>1 bộ gồm 2 cái</t>
        </is>
      </c>
      <c r="J787" s="117">
        <f>IF(OR(ISNUMBER(F787),ISNUMBER(G787)),IF(ISBLANK(G787),"⚠️ Chưa bóc tách định mức",IF(H787&gt;=0,"✅ OK - Cho phép đặt hàng","❌ CHẶN ĐẶT HÀNG - CẦN BẢO VỆ KL")),"")</f>
        <v/>
      </c>
      <c r="K787" s="138">
        <f>IF(OR(ISNUMBER(F787),ISNUMBER(G787)),IF(ISBLANK(G787),"Kỹ sư/Thầu phụ cần bóc tách KL bản vẽ",IF(H787&gt;=0,"Được đặt hàng tối đa "&amp;G787&amp;" "&amp;E787,"Vượt dự toán "&amp;ABS(H787)&amp;" "&amp;E787&amp;" (QS giải trình &amp; duyệt sửa BOQ)")),"")</f>
        <v/>
      </c>
    </row>
    <row r="788" ht="13.8" customHeight="1" s="75">
      <c r="A788" s="80" t="n"/>
      <c r="B788" s="24" t="n"/>
      <c r="C788" s="101" t="n"/>
      <c r="D788" s="24" t="n"/>
      <c r="E788" s="24" t="n"/>
      <c r="F788" s="85" t="n"/>
      <c r="G788" s="85" t="n"/>
      <c r="H788" s="44" t="n"/>
      <c r="I788" s="137" t="n"/>
    </row>
    <row r="789" ht="15.6" customHeight="1" s="75">
      <c r="A789" s="58" t="inlineStr">
        <is>
          <t>DHKK-C-V.2.0</t>
        </is>
      </c>
      <c r="B789" s="37" t="n">
        <v>2</v>
      </c>
      <c r="C789" s="98" t="inlineStr">
        <is>
          <t>Miệng gió, van gió</t>
        </is>
      </c>
      <c r="D789" s="24" t="n"/>
      <c r="E789" s="24" t="n"/>
      <c r="F789" s="85" t="n"/>
      <c r="G789" s="85" t="n"/>
      <c r="H789" s="44" t="n"/>
      <c r="I789" s="137" t="n"/>
    </row>
    <row r="790" ht="15.6" customHeight="1" s="75">
      <c r="A790" s="58" t="inlineStr">
        <is>
          <t>DHKK-C-V.2.1</t>
        </is>
      </c>
      <c r="B790" s="24" t="n"/>
      <c r="C790" s="98" t="inlineStr">
        <is>
          <t>Ventcap D250+I.S</t>
        </is>
      </c>
      <c r="D790" s="61" t="inlineStr">
        <is>
          <t>Cái</t>
        </is>
      </c>
      <c r="E790" s="61" t="inlineStr">
        <is>
          <t>Cái</t>
        </is>
      </c>
      <c r="F790" s="88" t="n">
        <v>1</v>
      </c>
      <c r="G790" s="85" t="n"/>
      <c r="H790" s="42">
        <f>IF(OR(ISNUMBER(F790),ISNUMBER(G790)),N(F790)-N(G790),"")</f>
        <v/>
      </c>
      <c r="I790" s="137" t="n"/>
      <c r="J790" s="117">
        <f>IF(OR(ISNUMBER(F790),ISNUMBER(G790)),IF(ISBLANK(G790),"⚠️ Chưa bóc tách định mức",IF(H790&gt;=0,"✅ OK - Cho phép đặt hàng","❌ CHẶN ĐẶT HÀNG - CẦN BẢO VỆ KL")),"")</f>
        <v/>
      </c>
      <c r="K790" s="138">
        <f>IF(OR(ISNUMBER(F790),ISNUMBER(G790)),IF(ISBLANK(G790),"Kỹ sư/Thầu phụ cần bóc tách KL bản vẽ",IF(H790&gt;=0,"Được đặt hàng tối đa "&amp;G790&amp;" "&amp;E790,"Vượt dự toán "&amp;ABS(H790)&amp;" "&amp;E790&amp;" (QS giải trình &amp; duyệt sửa BOQ)")),"")</f>
        <v/>
      </c>
    </row>
    <row r="791" ht="13.8" customHeight="1" s="75">
      <c r="A791" s="80" t="n"/>
      <c r="B791" s="24" t="n"/>
      <c r="C791" s="101" t="n"/>
      <c r="D791" s="24" t="n"/>
      <c r="E791" s="24" t="n"/>
      <c r="F791" s="85" t="n"/>
      <c r="G791" s="85" t="n"/>
      <c r="H791" s="44" t="n"/>
      <c r="I791" s="137" t="n"/>
    </row>
    <row r="792" ht="15.6" customHeight="1" s="75">
      <c r="A792" s="58" t="inlineStr">
        <is>
          <t>DHKK-C-V.3.0</t>
        </is>
      </c>
      <c r="B792" s="37" t="n">
        <v>3</v>
      </c>
      <c r="C792" s="98" t="inlineStr">
        <is>
          <t>Ống gió</t>
        </is>
      </c>
      <c r="D792" s="24" t="n"/>
      <c r="E792" s="24" t="n"/>
      <c r="F792" s="85" t="n"/>
      <c r="G792" s="85" t="n"/>
      <c r="H792" s="44" t="n"/>
      <c r="I792" s="137" t="n"/>
    </row>
    <row r="793" ht="15.6" customHeight="1" s="75">
      <c r="A793" s="58" t="inlineStr">
        <is>
          <t>DHKK-C-V.3.1</t>
        </is>
      </c>
      <c r="B793" s="24" t="n"/>
      <c r="C793" s="98" t="inlineStr">
        <is>
          <t>Ống gió thải uPVC DN200 PN5</t>
        </is>
      </c>
      <c r="D793" s="61" t="inlineStr">
        <is>
          <t>m</t>
        </is>
      </c>
      <c r="E793" s="61" t="inlineStr">
        <is>
          <t>m</t>
        </is>
      </c>
      <c r="F793" s="88" t="n">
        <v>88</v>
      </c>
      <c r="G793" s="85" t="n"/>
      <c r="H793" s="42">
        <f>IF(OR(ISNUMBER(F793),ISNUMBER(G793)),N(F793)-N(G793),"")</f>
        <v/>
      </c>
      <c r="I793" s="137" t="n"/>
      <c r="J793" s="117">
        <f>IF(OR(ISNUMBER(F793),ISNUMBER(G793)),IF(ISBLANK(G793),"⚠️ Chưa bóc tách định mức",IF(H793&gt;=0,"✅ OK - Cho phép đặt hàng","❌ CHẶN ĐẶT HÀNG - CẦN BẢO VỆ KL")),"")</f>
        <v/>
      </c>
      <c r="K793" s="138">
        <f>IF(OR(ISNUMBER(F793),ISNUMBER(G793)),IF(ISBLANK(G793),"Kỹ sư/Thầu phụ cần bóc tách KL bản vẽ",IF(H793&gt;=0,"Được đặt hàng tối đa "&amp;G793&amp;" "&amp;E793,"Vượt dự toán "&amp;ABS(H793)&amp;" "&amp;E793&amp;" (QS giải trình &amp; duyệt sửa BOQ)")),"")</f>
        <v/>
      </c>
    </row>
    <row r="794" ht="15.6" customHeight="1" s="75">
      <c r="A794" s="58" t="inlineStr">
        <is>
          <t>DHKK-C-V.3.2</t>
        </is>
      </c>
      <c r="B794" s="24" t="n"/>
      <c r="C794" s="98" t="inlineStr">
        <is>
          <t>Ống gió thải uPVC DN250 PN5</t>
        </is>
      </c>
      <c r="D794" s="61" t="inlineStr">
        <is>
          <t>m</t>
        </is>
      </c>
      <c r="E794" s="61" t="inlineStr">
        <is>
          <t>m</t>
        </is>
      </c>
      <c r="F794" s="88" t="n">
        <v>123</v>
      </c>
      <c r="G794" s="85" t="n"/>
      <c r="H794" s="42">
        <f>IF(OR(ISNUMBER(F794),ISNUMBER(G794)),N(F794)-N(G794),"")</f>
        <v/>
      </c>
      <c r="I794" s="137" t="n"/>
      <c r="J794" s="117">
        <f>IF(OR(ISNUMBER(F794),ISNUMBER(G794)),IF(ISBLANK(G794),"⚠️ Chưa bóc tách định mức",IF(H794&gt;=0,"✅ OK - Cho phép đặt hàng","❌ CHẶN ĐẶT HÀNG - CẦN BẢO VỆ KL")),"")</f>
        <v/>
      </c>
      <c r="K794" s="138">
        <f>IF(OR(ISNUMBER(F794),ISNUMBER(G794)),IF(ISBLANK(G794),"Kỹ sư/Thầu phụ cần bóc tách KL bản vẽ",IF(H794&gt;=0,"Được đặt hàng tối đa "&amp;G794&amp;" "&amp;E794,"Vượt dự toán "&amp;ABS(H794)&amp;" "&amp;E794&amp;" (QS giải trình &amp; duyệt sửa BOQ)")),"")</f>
        <v/>
      </c>
    </row>
    <row r="795" ht="13.8" customHeight="1" s="75">
      <c r="A795" s="80" t="n"/>
      <c r="B795" s="24" t="n"/>
      <c r="C795" s="101" t="n"/>
      <c r="D795" s="24" t="n"/>
      <c r="E795" s="24" t="n"/>
      <c r="F795" s="85" t="n"/>
      <c r="G795" s="85" t="n"/>
      <c r="H795" s="44" t="n"/>
      <c r="I795" s="137" t="n"/>
    </row>
    <row r="796" ht="15.6" customHeight="1" s="75">
      <c r="A796" s="58" t="inlineStr">
        <is>
          <t>DHKK-D</t>
        </is>
      </c>
      <c r="B796" s="33" t="inlineStr">
        <is>
          <t>D</t>
        </is>
      </c>
      <c r="C796" s="97" t="inlineStr">
        <is>
          <t>PHẦN CĂN HỘ</t>
        </is>
      </c>
      <c r="D796" s="34" t="n"/>
      <c r="E796" s="34" t="n"/>
      <c r="F796" s="87" t="n"/>
      <c r="G796" s="87" t="n"/>
      <c r="H796" s="35" t="n"/>
      <c r="I796" s="144" t="n"/>
    </row>
    <row r="797" ht="15.6" customHeight="1" s="75">
      <c r="A797" s="58" t="inlineStr">
        <is>
          <t>DHKK-D.I.0</t>
        </is>
      </c>
      <c r="B797" s="54" t="inlineStr">
        <is>
          <t>I</t>
        </is>
      </c>
      <c r="C797" s="104" t="inlineStr">
        <is>
          <t>PHẦN TỔNG CĂN HỘ</t>
        </is>
      </c>
      <c r="D797" s="55" t="n"/>
      <c r="E797" s="55" t="n"/>
      <c r="F797" s="89" t="n"/>
      <c r="G797" s="89" t="n"/>
      <c r="H797" s="56" t="n"/>
      <c r="I797" s="149" t="n"/>
    </row>
    <row r="798" ht="15.6" customHeight="1" s="75">
      <c r="A798" s="58" t="inlineStr">
        <is>
          <t>DHKK-D.I.1.0</t>
        </is>
      </c>
      <c r="B798" s="37" t="n">
        <v>1</v>
      </c>
      <c r="C798" s="98" t="inlineStr">
        <is>
          <t>Thiết bị máy lạnh</t>
        </is>
      </c>
      <c r="D798" s="24" t="n"/>
      <c r="E798" s="24" t="n"/>
      <c r="F798" s="88" t="n">
        <v>0</v>
      </c>
      <c r="G798" s="85" t="n"/>
      <c r="H798" s="44">
        <f>IF(OR(ISNUMBER(F798),ISNUMBER(G798)),N(F798)-N(G798),"")</f>
        <v/>
      </c>
      <c r="I798" s="137" t="n"/>
      <c r="J798" s="117">
        <f>IF(OR(ISNUMBER(F798),ISNUMBER(G798)),IF(ISBLANK(G798),"⚠️ Chưa bóc tách định mức",IF(H798&gt;=0,"✅ OK - Cho phép đặt hàng","❌ CHẶN ĐẶT HÀNG - CẦN BẢO VỆ KL")),"")</f>
        <v/>
      </c>
      <c r="K798" s="138">
        <f>IF(OR(ISNUMBER(F798),ISNUMBER(G798)),IF(ISBLANK(G798),"Kỹ sư/Thầu phụ cần bóc tách KL bản vẽ",IF(H798&gt;=0,"Được đặt hàng tối đa "&amp;G798&amp;" "&amp;E798,"Vượt dự toán "&amp;ABS(H798)&amp;" "&amp;E798&amp;" (QS giải trình &amp; duyệt sửa BOQ)")),"")</f>
        <v/>
      </c>
    </row>
    <row r="799" ht="15.6" customHeight="1" s="75">
      <c r="A799" s="58" t="inlineStr">
        <is>
          <t>DHKK-D.I.1.1</t>
        </is>
      </c>
      <c r="B799" s="24" t="n"/>
      <c r="C799" s="101" t="n"/>
      <c r="D799" s="24" t="n"/>
      <c r="E799" s="24" t="n"/>
      <c r="F799" s="88" t="n">
        <v>0</v>
      </c>
      <c r="G799" s="85" t="n"/>
      <c r="H799" s="44">
        <f>IF(OR(ISNUMBER(F799),ISNUMBER(G799)),N(F799)-N(G799),"")</f>
        <v/>
      </c>
      <c r="I799" s="137" t="n"/>
      <c r="J799" s="117">
        <f>IF(OR(ISNUMBER(F799),ISNUMBER(G799)),IF(ISBLANK(G799),"⚠️ Chưa bóc tách định mức",IF(H799&gt;=0,"✅ OK - Cho phép đặt hàng","❌ CHẶN ĐẶT HÀNG - CẦN BẢO VỆ KL")),"")</f>
        <v/>
      </c>
      <c r="K799" s="138">
        <f>IF(OR(ISNUMBER(F799),ISNUMBER(G799)),IF(ISBLANK(G799),"Kỹ sư/Thầu phụ cần bóc tách KL bản vẽ",IF(H799&gt;=0,"Được đặt hàng tối đa "&amp;G799&amp;" "&amp;E799,"Vượt dự toán "&amp;ABS(H799)&amp;" "&amp;E799&amp;" (QS giải trình &amp; duyệt sửa BOQ)")),"")</f>
        <v/>
      </c>
    </row>
    <row r="800" ht="14.1" customHeight="1" s="75">
      <c r="A800" s="80" t="n"/>
      <c r="B800" s="37" t="n">
        <v>2</v>
      </c>
      <c r="C800" s="98" t="inlineStr">
        <is>
          <t>Ống đồng và phụ kiện</t>
        </is>
      </c>
      <c r="D800" s="24" t="n"/>
      <c r="E800" s="24" t="n"/>
      <c r="F800" s="88" t="n">
        <v>0</v>
      </c>
      <c r="G800" s="85" t="n"/>
      <c r="H800" s="44">
        <f>IF(OR(ISNUMBER(F800),ISNUMBER(G800)),N(F800)-N(G800),"")</f>
        <v/>
      </c>
      <c r="I800" s="137" t="n"/>
      <c r="J800" s="117">
        <f>IF(OR(ISNUMBER(F800),ISNUMBER(G800)),IF(ISBLANK(G800),"⚠️ Chưa bóc tách định mức",IF(H800&gt;=0,"✅ OK - Cho phép đặt hàng","❌ CHẶN ĐẶT HÀNG - CẦN BẢO VỆ KL")),"")</f>
        <v/>
      </c>
      <c r="K800" s="138">
        <f>IF(OR(ISNUMBER(F800),ISNUMBER(G800)),IF(ISBLANK(G800),"Kỹ sư/Thầu phụ cần bóc tách KL bản vẽ",IF(H800&gt;=0,"Được đặt hàng tối đa "&amp;G800&amp;" "&amp;E800,"Vượt dự toán "&amp;ABS(H800)&amp;" "&amp;E800&amp;" (QS giải trình &amp; duyệt sửa BOQ)")),"")</f>
        <v/>
      </c>
    </row>
    <row r="801" ht="15.6" customHeight="1" s="75">
      <c r="A801" s="58" t="inlineStr">
        <is>
          <t>DHKK-D.I1.2.0</t>
        </is>
      </c>
      <c r="B801" s="24" t="n"/>
      <c r="C801" s="98" t="inlineStr">
        <is>
          <t>Ống đồng</t>
        </is>
      </c>
      <c r="D801" s="24" t="n"/>
      <c r="E801" s="24" t="n"/>
      <c r="F801" s="88" t="n">
        <v>0</v>
      </c>
      <c r="G801" s="85" t="n"/>
      <c r="H801" s="44">
        <f>IF(OR(ISNUMBER(F801),ISNUMBER(G801)),N(F801)-N(G801),"")</f>
        <v/>
      </c>
      <c r="I801" s="137" t="n"/>
      <c r="J801" s="117">
        <f>IF(OR(ISNUMBER(F801),ISNUMBER(G801)),IF(ISBLANK(G801),"⚠️ Chưa bóc tách định mức",IF(H801&gt;=0,"✅ OK - Cho phép đặt hàng","❌ CHẶN ĐẶT HÀNG - CẦN BẢO VỆ KL")),"")</f>
        <v/>
      </c>
      <c r="K801" s="138">
        <f>IF(OR(ISNUMBER(F801),ISNUMBER(G801)),IF(ISBLANK(G801),"Kỹ sư/Thầu phụ cần bóc tách KL bản vẽ",IF(H801&gt;=0,"Được đặt hàng tối đa "&amp;G801&amp;" "&amp;E801,"Vượt dự toán "&amp;ABS(H801)&amp;" "&amp;E801&amp;" (QS giải trình &amp; duyệt sửa BOQ)")),"")</f>
        <v/>
      </c>
    </row>
    <row r="802" ht="15.6" customHeight="1" s="75">
      <c r="A802" s="58" t="inlineStr">
        <is>
          <t>DHKK-D.I1.2.1</t>
        </is>
      </c>
      <c r="B802" s="24" t="n"/>
      <c r="C802" s="98" t="inlineStr">
        <is>
          <t>Ống đồng Ø6.4 dày 0.76mm</t>
        </is>
      </c>
      <c r="D802" s="61" t="inlineStr">
        <is>
          <t>m</t>
        </is>
      </c>
      <c r="E802" s="61" t="inlineStr">
        <is>
          <t>m</t>
        </is>
      </c>
      <c r="F802" s="88" t="n">
        <v>21841</v>
      </c>
      <c r="G802" s="88" t="n">
        <v>19276</v>
      </c>
      <c r="H802" s="42">
        <f>IF(OR(ISNUMBER(F802),ISNUMBER(G802)),N(F802)-N(G802),"")</f>
        <v/>
      </c>
      <c r="I802" s="137" t="n"/>
      <c r="J802" s="117">
        <f>IF(OR(ISNUMBER(F802),ISNUMBER(G802)),IF(ISBLANK(G802),"⚠️ Chưa bóc tách định mức",IF(H802&gt;=0,"✅ OK - Cho phép đặt hàng","❌ CHẶN ĐẶT HÀNG - CẦN BẢO VỆ KL")),"")</f>
        <v/>
      </c>
      <c r="K802" s="138">
        <f>IF(OR(ISNUMBER(F802),ISNUMBER(G802)),IF(ISBLANK(G802),"Kỹ sư/Thầu phụ cần bóc tách KL bản vẽ",IF(H802&gt;=0,"Được đặt hàng tối đa "&amp;G802&amp;" "&amp;E802,"Vượt dự toán "&amp;ABS(H802)&amp;" "&amp;E802&amp;" (QS giải trình &amp; duyệt sửa BOQ)")),"")</f>
        <v/>
      </c>
    </row>
    <row r="803" ht="15.6" customHeight="1" s="75">
      <c r="A803" s="58" t="inlineStr">
        <is>
          <t>DHKK-D.I1.2.2</t>
        </is>
      </c>
      <c r="B803" s="24" t="n"/>
      <c r="C803" s="98" t="inlineStr">
        <is>
          <t>Ống đồng Ø9.5 dày 0.81mm</t>
        </is>
      </c>
      <c r="D803" s="61" t="inlineStr">
        <is>
          <t>m</t>
        </is>
      </c>
      <c r="E803" s="61" t="inlineStr">
        <is>
          <t>m</t>
        </is>
      </c>
      <c r="F803" s="88" t="n">
        <v>14126</v>
      </c>
      <c r="G803" s="88" t="n">
        <v>12397</v>
      </c>
      <c r="H803" s="42">
        <f>IF(OR(ISNUMBER(F803),ISNUMBER(G803)),N(F803)-N(G803),"")</f>
        <v/>
      </c>
      <c r="I803" s="137" t="n"/>
      <c r="J803" s="117">
        <f>IF(OR(ISNUMBER(F803),ISNUMBER(G803)),IF(ISBLANK(G803),"⚠️ Chưa bóc tách định mức",IF(H803&gt;=0,"✅ OK - Cho phép đặt hàng","❌ CHẶN ĐẶT HÀNG - CẦN BẢO VỆ KL")),"")</f>
        <v/>
      </c>
      <c r="K803" s="138">
        <f>IF(OR(ISNUMBER(F803),ISNUMBER(G803)),IF(ISBLANK(G803),"Kỹ sư/Thầu phụ cần bóc tách KL bản vẽ",IF(H803&gt;=0,"Được đặt hàng tối đa "&amp;G803&amp;" "&amp;E803,"Vượt dự toán "&amp;ABS(H803)&amp;" "&amp;E803&amp;" (QS giải trình &amp; duyệt sửa BOQ)")),"")</f>
        <v/>
      </c>
    </row>
    <row r="804" ht="15.6" customHeight="1" s="75">
      <c r="A804" s="58" t="inlineStr">
        <is>
          <t>DHKK-D.I1.2.3</t>
        </is>
      </c>
      <c r="B804" s="24" t="n"/>
      <c r="C804" s="98" t="inlineStr">
        <is>
          <t>Ống đồng Ø12.7 dày 0.81mm</t>
        </is>
      </c>
      <c r="D804" s="61" t="inlineStr">
        <is>
          <t>m</t>
        </is>
      </c>
      <c r="E804" s="61" t="inlineStr">
        <is>
          <t>m</t>
        </is>
      </c>
      <c r="F804" s="88" t="n">
        <v>7713</v>
      </c>
      <c r="G804" s="88" t="n">
        <v>6481</v>
      </c>
      <c r="H804" s="42">
        <f>IF(OR(ISNUMBER(F804),ISNUMBER(G804)),N(F804)-N(G804),"")</f>
        <v/>
      </c>
      <c r="I804" s="137" t="n"/>
      <c r="J804" s="117">
        <f>IF(OR(ISNUMBER(F804),ISNUMBER(G804)),IF(ISBLANK(G804),"⚠️ Chưa bóc tách định mức",IF(H804&gt;=0,"✅ OK - Cho phép đặt hàng","❌ CHẶN ĐẶT HÀNG - CẦN BẢO VỆ KL")),"")</f>
        <v/>
      </c>
      <c r="K804" s="138">
        <f>IF(OR(ISNUMBER(F804),ISNUMBER(G804)),IF(ISBLANK(G804),"Kỹ sư/Thầu phụ cần bóc tách KL bản vẽ",IF(H804&gt;=0,"Được đặt hàng tối đa "&amp;G804&amp;" "&amp;E804,"Vượt dự toán "&amp;ABS(H804)&amp;" "&amp;E804&amp;" (QS giải trình &amp; duyệt sửa BOQ)")),"")</f>
        <v/>
      </c>
    </row>
    <row r="805" ht="15.6" customHeight="1" s="75">
      <c r="A805" s="58" t="inlineStr">
        <is>
          <t>DHKK-D.I1.3.0</t>
        </is>
      </c>
      <c r="B805" s="37" t="n">
        <v>3</v>
      </c>
      <c r="C805" s="98" t="inlineStr">
        <is>
          <t>Cách nhiệt ống đồng</t>
        </is>
      </c>
      <c r="D805" s="24" t="n"/>
      <c r="E805" s="24" t="n"/>
      <c r="F805" s="88" t="n">
        <v>0</v>
      </c>
      <c r="G805" s="85" t="n"/>
      <c r="H805" s="44">
        <f>IF(OR(ISNUMBER(F805),ISNUMBER(G805)),N(F805)-N(G805),"")</f>
        <v/>
      </c>
      <c r="I805" s="137" t="n"/>
      <c r="J805" s="117">
        <f>IF(OR(ISNUMBER(F805),ISNUMBER(G805)),IF(ISBLANK(G805),"⚠️ Chưa bóc tách định mức",IF(H805&gt;=0,"✅ OK - Cho phép đặt hàng","❌ CHẶN ĐẶT HÀNG - CẦN BẢO VỆ KL")),"")</f>
        <v/>
      </c>
      <c r="K805" s="138">
        <f>IF(OR(ISNUMBER(F805),ISNUMBER(G805)),IF(ISBLANK(G805),"Kỹ sư/Thầu phụ cần bóc tách KL bản vẽ",IF(H805&gt;=0,"Được đặt hàng tối đa "&amp;G805&amp;" "&amp;E805,"Vượt dự toán "&amp;ABS(H805)&amp;" "&amp;E805&amp;" (QS giải trình &amp; duyệt sửa BOQ)")),"")</f>
        <v/>
      </c>
    </row>
    <row r="806" ht="15.6" customHeight="1" s="75">
      <c r="A806" s="58" t="inlineStr">
        <is>
          <t>DHKK-D.I1.3.1</t>
        </is>
      </c>
      <c r="B806" s="24" t="n"/>
      <c r="C806" s="98" t="inlineStr">
        <is>
          <t>Bảo ôn ống đồng Ø6.4 dày 13mm</t>
        </is>
      </c>
      <c r="D806" s="61" t="inlineStr">
        <is>
          <t>m</t>
        </is>
      </c>
      <c r="E806" s="61" t="inlineStr">
        <is>
          <t>m</t>
        </is>
      </c>
      <c r="F806" s="88" t="n">
        <v>21841</v>
      </c>
      <c r="G806" s="88" t="n">
        <v>18877</v>
      </c>
      <c r="H806" s="42">
        <f>IF(OR(ISNUMBER(F806),ISNUMBER(G806)),N(F806)-N(G806),"")</f>
        <v/>
      </c>
      <c r="I806" s="137" t="n"/>
      <c r="J806" s="117">
        <f>IF(OR(ISNUMBER(F806),ISNUMBER(G806)),IF(ISBLANK(G806),"⚠️ Chưa bóc tách định mức",IF(H806&gt;=0,"✅ OK - Cho phép đặt hàng","❌ CHẶN ĐẶT HÀNG - CẦN BẢO VỆ KL")),"")</f>
        <v/>
      </c>
      <c r="K806" s="138">
        <f>IF(OR(ISNUMBER(F806),ISNUMBER(G806)),IF(ISBLANK(G806),"Kỹ sư/Thầu phụ cần bóc tách KL bản vẽ",IF(H806&gt;=0,"Được đặt hàng tối đa "&amp;G806&amp;" "&amp;E806,"Vượt dự toán "&amp;ABS(H806)&amp;" "&amp;E806&amp;" (QS giải trình &amp; duyệt sửa BOQ)")),"")</f>
        <v/>
      </c>
    </row>
    <row r="807" ht="15.6" customHeight="1" s="75">
      <c r="A807" s="58" t="inlineStr">
        <is>
          <t>DHKK-D.I1.3.2</t>
        </is>
      </c>
      <c r="B807" s="24" t="n"/>
      <c r="C807" s="98" t="inlineStr">
        <is>
          <t>Bảo ôn ống đồng Ø9.5 dày 13mm</t>
        </is>
      </c>
      <c r="D807" s="61" t="inlineStr">
        <is>
          <t>m</t>
        </is>
      </c>
      <c r="E807" s="61" t="inlineStr">
        <is>
          <t>m</t>
        </is>
      </c>
      <c r="F807" s="88" t="n">
        <v>14126</v>
      </c>
      <c r="G807" s="88" t="n">
        <v>12397</v>
      </c>
      <c r="H807" s="42">
        <f>IF(OR(ISNUMBER(F807),ISNUMBER(G807)),N(F807)-N(G807),"")</f>
        <v/>
      </c>
      <c r="I807" s="137" t="n"/>
      <c r="J807" s="117">
        <f>IF(OR(ISNUMBER(F807),ISNUMBER(G807)),IF(ISBLANK(G807),"⚠️ Chưa bóc tách định mức",IF(H807&gt;=0,"✅ OK - Cho phép đặt hàng","❌ CHẶN ĐẶT HÀNG - CẦN BẢO VỆ KL")),"")</f>
        <v/>
      </c>
      <c r="K807" s="138">
        <f>IF(OR(ISNUMBER(F807),ISNUMBER(G807)),IF(ISBLANK(G807),"Kỹ sư/Thầu phụ cần bóc tách KL bản vẽ",IF(H807&gt;=0,"Được đặt hàng tối đa "&amp;G807&amp;" "&amp;E807,"Vượt dự toán "&amp;ABS(H807)&amp;" "&amp;E807&amp;" (QS giải trình &amp; duyệt sửa BOQ)")),"")</f>
        <v/>
      </c>
    </row>
    <row r="808" ht="15.6" customHeight="1" s="75">
      <c r="A808" s="58" t="inlineStr">
        <is>
          <t>DHKK-D.I1.3.3</t>
        </is>
      </c>
      <c r="B808" s="24" t="n"/>
      <c r="C808" s="98" t="inlineStr">
        <is>
          <t>Bảo ôn ống đồng Ø12.7 dày 13mm</t>
        </is>
      </c>
      <c r="D808" s="61" t="inlineStr">
        <is>
          <t>m</t>
        </is>
      </c>
      <c r="E808" s="61" t="inlineStr">
        <is>
          <t>m</t>
        </is>
      </c>
      <c r="F808" s="88" t="n">
        <v>7713</v>
      </c>
      <c r="G808" s="88" t="n">
        <v>6481</v>
      </c>
      <c r="H808" s="42">
        <f>IF(OR(ISNUMBER(F808),ISNUMBER(G808)),N(F808)-N(G808),"")</f>
        <v/>
      </c>
      <c r="I808" s="137" t="n"/>
      <c r="J808" s="117">
        <f>IF(OR(ISNUMBER(F808),ISNUMBER(G808)),IF(ISBLANK(G808),"⚠️ Chưa bóc tách định mức",IF(H808&gt;=0,"✅ OK - Cho phép đặt hàng","❌ CHẶN ĐẶT HÀNG - CẦN BẢO VỆ KL")),"")</f>
        <v/>
      </c>
      <c r="K808" s="138">
        <f>IF(OR(ISNUMBER(F808),ISNUMBER(G808)),IF(ISBLANK(G808),"Kỹ sư/Thầu phụ cần bóc tách KL bản vẽ",IF(H808&gt;=0,"Được đặt hàng tối đa "&amp;G808&amp;" "&amp;E808,"Vượt dự toán "&amp;ABS(H808)&amp;" "&amp;E808&amp;" (QS giải trình &amp; duyệt sửa BOQ)")),"")</f>
        <v/>
      </c>
    </row>
    <row r="809" ht="14.1" customHeight="1" s="75">
      <c r="A809" s="80" t="n"/>
      <c r="B809" s="24" t="n"/>
      <c r="C809" s="98" t="inlineStr">
        <is>
          <t>Ống nước ngưng và phụ kiện</t>
        </is>
      </c>
      <c r="D809" s="24" t="n"/>
      <c r="E809" s="24" t="n"/>
      <c r="F809" s="88" t="n">
        <v>0</v>
      </c>
      <c r="G809" s="85" t="n"/>
      <c r="H809" s="44">
        <f>IF(OR(ISNUMBER(F809),ISNUMBER(G809)),N(F809)-N(G809),"")</f>
        <v/>
      </c>
      <c r="I809" s="137" t="n"/>
      <c r="J809" s="117">
        <f>IF(OR(ISNUMBER(F809),ISNUMBER(G809)),IF(ISBLANK(G809),"⚠️ Chưa bóc tách định mức",IF(H809&gt;=0,"✅ OK - Cho phép đặt hàng","❌ CHẶN ĐẶT HÀNG - CẦN BẢO VỆ KL")),"")</f>
        <v/>
      </c>
      <c r="K809" s="138">
        <f>IF(OR(ISNUMBER(F809),ISNUMBER(G809)),IF(ISBLANK(G809),"Kỹ sư/Thầu phụ cần bóc tách KL bản vẽ",IF(H809&gt;=0,"Được đặt hàng tối đa "&amp;G809&amp;" "&amp;E809,"Vượt dự toán "&amp;ABS(H809)&amp;" "&amp;E809&amp;" (QS giải trình &amp; duyệt sửa BOQ)")),"")</f>
        <v/>
      </c>
    </row>
    <row r="810" ht="15.6" customHeight="1" s="75">
      <c r="A810" s="58" t="inlineStr">
        <is>
          <t>DHKK-D.I1.4.0</t>
        </is>
      </c>
      <c r="B810" s="37" t="n">
        <v>4</v>
      </c>
      <c r="C810" s="98" t="inlineStr">
        <is>
          <t>Ống nước ngưng</t>
        </is>
      </c>
      <c r="D810" s="24" t="n"/>
      <c r="E810" s="24" t="n"/>
      <c r="F810" s="88" t="n">
        <v>0</v>
      </c>
      <c r="G810" s="85" t="n"/>
      <c r="H810" s="44">
        <f>IF(OR(ISNUMBER(F810),ISNUMBER(G810)),N(F810)-N(G810),"")</f>
        <v/>
      </c>
      <c r="I810" s="137" t="n"/>
      <c r="J810" s="117">
        <f>IF(OR(ISNUMBER(F810),ISNUMBER(G810)),IF(ISBLANK(G810),"⚠️ Chưa bóc tách định mức",IF(H810&gt;=0,"✅ OK - Cho phép đặt hàng","❌ CHẶN ĐẶT HÀNG - CẦN BẢO VỆ KL")),"")</f>
        <v/>
      </c>
      <c r="K810" s="138">
        <f>IF(OR(ISNUMBER(F810),ISNUMBER(G810)),IF(ISBLANK(G810),"Kỹ sư/Thầu phụ cần bóc tách KL bản vẽ",IF(H810&gt;=0,"Được đặt hàng tối đa "&amp;G810&amp;" "&amp;E810,"Vượt dự toán "&amp;ABS(H810)&amp;" "&amp;E810&amp;" (QS giải trình &amp; duyệt sửa BOQ)")),"")</f>
        <v/>
      </c>
    </row>
    <row r="811" ht="15.6" customHeight="1" s="75">
      <c r="A811" s="58" t="inlineStr">
        <is>
          <t>DHKK-D.I1.4.1</t>
        </is>
      </c>
      <c r="B811" s="139" t="n"/>
      <c r="C811" s="98" t="inlineStr">
        <is>
          <t>Ống thoát nước ngưng uPVC Ø21</t>
        </is>
      </c>
      <c r="D811" s="61" t="inlineStr">
        <is>
          <t>m</t>
        </is>
      </c>
      <c r="E811" s="61" t="inlineStr">
        <is>
          <t>m</t>
        </is>
      </c>
      <c r="F811" s="88" t="n">
        <v>11174</v>
      </c>
      <c r="G811" s="88" t="n">
        <v>14883</v>
      </c>
      <c r="H811" s="60">
        <f>IF(OR(ISNUMBER(F811),ISNUMBER(G811)),N(F811)-N(G811),"")</f>
        <v/>
      </c>
      <c r="I811" s="137" t="n"/>
      <c r="J811" s="117">
        <f>IF(OR(ISNUMBER(F811),ISNUMBER(G811)),IF(ISBLANK(G811),"⚠️ Chưa bóc tách định mức",IF(H811&gt;=0,"✅ OK - Cho phép đặt hàng","❌ CHẶN ĐẶT HÀNG - CẦN BẢO VỆ KL")),"")</f>
        <v/>
      </c>
      <c r="K811" s="138">
        <f>IF(OR(ISNUMBER(F811),ISNUMBER(G811)),IF(ISBLANK(G811),"Kỹ sư/Thầu phụ cần bóc tách KL bản vẽ",IF(H811&gt;=0,"Được đặt hàng tối đa "&amp;G811&amp;" "&amp;E811,"Vượt dự toán "&amp;ABS(H811)&amp;" "&amp;E811&amp;" (QS giải trình &amp; duyệt sửa BOQ)")),"")</f>
        <v/>
      </c>
    </row>
    <row r="812" ht="15.6" customHeight="1" s="75">
      <c r="A812" s="58" t="inlineStr">
        <is>
          <t>DHKK-D.I1.4.2</t>
        </is>
      </c>
      <c r="B812" s="139" t="n"/>
      <c r="C812" s="98" t="inlineStr">
        <is>
          <t>Ống thoát nước ngưng uPVC Ø27</t>
        </is>
      </c>
      <c r="D812" s="61" t="inlineStr">
        <is>
          <t>m</t>
        </is>
      </c>
      <c r="E812" s="61" t="inlineStr">
        <is>
          <t>m</t>
        </is>
      </c>
      <c r="F812" s="88" t="n">
        <v>3443</v>
      </c>
      <c r="G812" s="88" t="n">
        <v>2688</v>
      </c>
      <c r="H812" s="42">
        <f>IF(OR(ISNUMBER(F812),ISNUMBER(G812)),N(F812)-N(G812),"")</f>
        <v/>
      </c>
      <c r="I812" s="137" t="n"/>
      <c r="J812" s="117">
        <f>IF(OR(ISNUMBER(F812),ISNUMBER(G812)),IF(ISBLANK(G812),"⚠️ Chưa bóc tách định mức",IF(H812&gt;=0,"✅ OK - Cho phép đặt hàng","❌ CHẶN ĐẶT HÀNG - CẦN BẢO VỆ KL")),"")</f>
        <v/>
      </c>
      <c r="K812" s="138">
        <f>IF(OR(ISNUMBER(F812),ISNUMBER(G812)),IF(ISBLANK(G812),"Kỹ sư/Thầu phụ cần bóc tách KL bản vẽ",IF(H812&gt;=0,"Được đặt hàng tối đa "&amp;G812&amp;" "&amp;E812,"Vượt dự toán "&amp;ABS(H812)&amp;" "&amp;E812&amp;" (QS giải trình &amp; duyệt sửa BOQ)")),"")</f>
        <v/>
      </c>
    </row>
    <row r="813" ht="15.6" customHeight="1" s="75">
      <c r="A813" s="58" t="inlineStr">
        <is>
          <t>DHKK-D.I1.4.3</t>
        </is>
      </c>
      <c r="B813" s="139" t="n"/>
      <c r="C813" s="99" t="inlineStr">
        <is>
          <t>Bít đầu uPVC D21</t>
        </is>
      </c>
      <c r="D813" s="61" t="inlineStr">
        <is>
          <t>cái</t>
        </is>
      </c>
      <c r="E813" s="61" t="inlineStr">
        <is>
          <t>cái</t>
        </is>
      </c>
      <c r="F813" s="88" t="n">
        <v>7179</v>
      </c>
      <c r="G813" s="88" t="n">
        <v>7179</v>
      </c>
      <c r="H813" s="44">
        <f>IF(OR(ISNUMBER(F813),ISNUMBER(G813)),N(F813)-N(G813),"")</f>
        <v/>
      </c>
      <c r="I813" s="137" t="n"/>
      <c r="J813" s="117">
        <f>IF(OR(ISNUMBER(F813),ISNUMBER(G813)),IF(ISBLANK(G813),"⚠️ Chưa bóc tách định mức",IF(H813&gt;=0,"✅ OK - Cho phép đặt hàng","❌ CHẶN ĐẶT HÀNG - CẦN BẢO VỆ KL")),"")</f>
        <v/>
      </c>
      <c r="K813" s="138">
        <f>IF(OR(ISNUMBER(F813),ISNUMBER(G813)),IF(ISBLANK(G813),"Kỹ sư/Thầu phụ cần bóc tách KL bản vẽ",IF(H813&gt;=0,"Được đặt hàng tối đa "&amp;G813&amp;" "&amp;E813,"Vượt dự toán "&amp;ABS(H813)&amp;" "&amp;E813&amp;" (QS giải trình &amp; duyệt sửa BOQ)")),"")</f>
        <v/>
      </c>
    </row>
    <row r="814" ht="15.6" customHeight="1" s="75">
      <c r="A814" s="58" t="inlineStr">
        <is>
          <t>DHKK-D.I1.4.4</t>
        </is>
      </c>
      <c r="B814" s="24" t="n"/>
      <c r="C814" s="99" t="inlineStr">
        <is>
          <t>Bít đầu uPVC D27</t>
        </is>
      </c>
      <c r="D814" s="61" t="inlineStr">
        <is>
          <t>cái</t>
        </is>
      </c>
      <c r="E814" s="61" t="inlineStr">
        <is>
          <t>cái</t>
        </is>
      </c>
      <c r="F814" s="88" t="n">
        <v>2702</v>
      </c>
      <c r="G814" s="88" t="n">
        <v>2702</v>
      </c>
      <c r="H814" s="44">
        <f>IF(OR(ISNUMBER(F814),ISNUMBER(G814)),N(F814)-N(G814),"")</f>
        <v/>
      </c>
      <c r="I814" s="137" t="n"/>
      <c r="J814" s="117">
        <f>IF(OR(ISNUMBER(F814),ISNUMBER(G814)),IF(ISBLANK(G814),"⚠️ Chưa bóc tách định mức",IF(H814&gt;=0,"✅ OK - Cho phép đặt hàng","❌ CHẶN ĐẶT HÀNG - CẦN BẢO VỆ KL")),"")</f>
        <v/>
      </c>
      <c r="K814" s="138">
        <f>IF(OR(ISNUMBER(F814),ISNUMBER(G814)),IF(ISBLANK(G814),"Kỹ sư/Thầu phụ cần bóc tách KL bản vẽ",IF(H814&gt;=0,"Được đặt hàng tối đa "&amp;G814&amp;" "&amp;E814,"Vượt dự toán "&amp;ABS(H814)&amp;" "&amp;E814&amp;" (QS giải trình &amp; duyệt sửa BOQ)")),"")</f>
        <v/>
      </c>
    </row>
    <row r="815" ht="15.6" customHeight="1" s="75">
      <c r="A815" s="58" t="inlineStr">
        <is>
          <t>DHKK-D.I1.4.5</t>
        </is>
      </c>
      <c r="B815" s="139" t="n"/>
      <c r="C815" s="99" t="inlineStr">
        <is>
          <t>Nối trơn uPVC D21 PN9</t>
        </is>
      </c>
      <c r="D815" s="61" t="inlineStr">
        <is>
          <t>cái</t>
        </is>
      </c>
      <c r="E815" s="61" t="inlineStr">
        <is>
          <t>cái</t>
        </is>
      </c>
      <c r="F815" s="88" t="n">
        <v>3767</v>
      </c>
      <c r="G815" s="88" t="n">
        <v>3767</v>
      </c>
      <c r="H815" s="44">
        <f>IF(OR(ISNUMBER(F815),ISNUMBER(G815)),N(F815)-N(G815),"")</f>
        <v/>
      </c>
      <c r="I815" s="137" t="n"/>
      <c r="J815" s="117">
        <f>IF(OR(ISNUMBER(F815),ISNUMBER(G815)),IF(ISBLANK(G815),"⚠️ Chưa bóc tách định mức",IF(H815&gt;=0,"✅ OK - Cho phép đặt hàng","❌ CHẶN ĐẶT HÀNG - CẦN BẢO VỆ KL")),"")</f>
        <v/>
      </c>
      <c r="K815" s="138">
        <f>IF(OR(ISNUMBER(F815),ISNUMBER(G815)),IF(ISBLANK(G815),"Kỹ sư/Thầu phụ cần bóc tách KL bản vẽ",IF(H815&gt;=0,"Được đặt hàng tối đa "&amp;G815&amp;" "&amp;E815,"Vượt dự toán "&amp;ABS(H815)&amp;" "&amp;E815&amp;" (QS giải trình &amp; duyệt sửa BOQ)")),"")</f>
        <v/>
      </c>
    </row>
    <row r="816" ht="15.6" customHeight="1" s="75">
      <c r="A816" s="58" t="inlineStr">
        <is>
          <t>DHKK-D.I1.4.6</t>
        </is>
      </c>
      <c r="B816" s="139" t="n"/>
      <c r="C816" s="99" t="inlineStr">
        <is>
          <t>Nối giảm uPVC D27/D21 PN9</t>
        </is>
      </c>
      <c r="D816" s="61" t="inlineStr">
        <is>
          <t>cái</t>
        </is>
      </c>
      <c r="E816" s="61" t="inlineStr">
        <is>
          <t>cái</t>
        </is>
      </c>
      <c r="F816" s="88" t="n">
        <v>2265</v>
      </c>
      <c r="G816" s="88" t="n">
        <v>2265</v>
      </c>
      <c r="H816" s="44">
        <f>IF(OR(ISNUMBER(F816),ISNUMBER(G816)),N(F816)-N(G816),"")</f>
        <v/>
      </c>
      <c r="I816" s="137" t="n"/>
      <c r="J816" s="117">
        <f>IF(OR(ISNUMBER(F816),ISNUMBER(G816)),IF(ISBLANK(G816),"⚠️ Chưa bóc tách định mức",IF(H816&gt;=0,"✅ OK - Cho phép đặt hàng","❌ CHẶN ĐẶT HÀNG - CẦN BẢO VỆ KL")),"")</f>
        <v/>
      </c>
      <c r="K816" s="138">
        <f>IF(OR(ISNUMBER(F816),ISNUMBER(G816)),IF(ISBLANK(G816),"Kỹ sư/Thầu phụ cần bóc tách KL bản vẽ",IF(H816&gt;=0,"Được đặt hàng tối đa "&amp;G816&amp;" "&amp;E816,"Vượt dự toán "&amp;ABS(H816)&amp;" "&amp;E816&amp;" (QS giải trình &amp; duyệt sửa BOQ)")),"")</f>
        <v/>
      </c>
    </row>
    <row r="817" ht="15.6" customHeight="1" s="75">
      <c r="A817" s="58" t="inlineStr">
        <is>
          <t>DHKK-D.I1.4.7</t>
        </is>
      </c>
      <c r="B817" s="139" t="n"/>
      <c r="C817" s="99" t="inlineStr">
        <is>
          <t>Nối giảm uPVC D42/D21 PN9</t>
        </is>
      </c>
      <c r="D817" s="61" t="inlineStr">
        <is>
          <t>cái</t>
        </is>
      </c>
      <c r="E817" s="61" t="inlineStr">
        <is>
          <t>cái</t>
        </is>
      </c>
      <c r="F817" s="88" t="n">
        <v>624</v>
      </c>
      <c r="G817" s="88" t="n">
        <v>624</v>
      </c>
      <c r="H817" s="44">
        <f>IF(OR(ISNUMBER(F817),ISNUMBER(G817)),N(F817)-N(G817),"")</f>
        <v/>
      </c>
      <c r="I817" s="137" t="n"/>
      <c r="J817" s="117">
        <f>IF(OR(ISNUMBER(F817),ISNUMBER(G817)),IF(ISBLANK(G817),"⚠️ Chưa bóc tách định mức",IF(H817&gt;=0,"✅ OK - Cho phép đặt hàng","❌ CHẶN ĐẶT HÀNG - CẦN BẢO VỆ KL")),"")</f>
        <v/>
      </c>
      <c r="K817" s="138">
        <f>IF(OR(ISNUMBER(F817),ISNUMBER(G817)),IF(ISBLANK(G817),"Kỹ sư/Thầu phụ cần bóc tách KL bản vẽ",IF(H817&gt;=0,"Được đặt hàng tối đa "&amp;G817&amp;" "&amp;E817,"Vượt dự toán "&amp;ABS(H817)&amp;" "&amp;E817&amp;" (QS giải trình &amp; duyệt sửa BOQ)")),"")</f>
        <v/>
      </c>
    </row>
    <row r="818" ht="15.6" customHeight="1" s="75">
      <c r="A818" s="58" t="inlineStr">
        <is>
          <t>DHKK-D.I1.4.8</t>
        </is>
      </c>
      <c r="B818" s="139" t="n"/>
      <c r="C818" s="99" t="inlineStr">
        <is>
          <t>Nối giảm uPVC D42/D27 PN9</t>
        </is>
      </c>
      <c r="D818" s="61" t="inlineStr">
        <is>
          <t>cái</t>
        </is>
      </c>
      <c r="E818" s="61" t="inlineStr">
        <is>
          <t>cái</t>
        </is>
      </c>
      <c r="F818" s="88" t="n">
        <v>936</v>
      </c>
      <c r="G818" s="88" t="n">
        <v>936</v>
      </c>
      <c r="H818" s="44">
        <f>IF(OR(ISNUMBER(F818),ISNUMBER(G818)),N(F818)-N(G818),"")</f>
        <v/>
      </c>
      <c r="I818" s="137" t="n"/>
      <c r="J818" s="117">
        <f>IF(OR(ISNUMBER(F818),ISNUMBER(G818)),IF(ISBLANK(G818),"⚠️ Chưa bóc tách định mức",IF(H818&gt;=0,"✅ OK - Cho phép đặt hàng","❌ CHẶN ĐẶT HÀNG - CẦN BẢO VỆ KL")),"")</f>
        <v/>
      </c>
      <c r="K818" s="138">
        <f>IF(OR(ISNUMBER(F818),ISNUMBER(G818)),IF(ISBLANK(G818),"Kỹ sư/Thầu phụ cần bóc tách KL bản vẽ",IF(H818&gt;=0,"Được đặt hàng tối đa "&amp;G818&amp;" "&amp;E818,"Vượt dự toán "&amp;ABS(H818)&amp;" "&amp;E818&amp;" (QS giải trình &amp; duyệt sửa BOQ)")),"")</f>
        <v/>
      </c>
    </row>
    <row r="819" ht="15.6" customHeight="1" s="75">
      <c r="A819" s="58" t="inlineStr">
        <is>
          <t>DHKK-D.I1.4.9</t>
        </is>
      </c>
      <c r="B819" s="24" t="n"/>
      <c r="C819" s="99" t="inlineStr">
        <is>
          <t>Co 45 uPVC D21 PN9</t>
        </is>
      </c>
      <c r="D819" s="61" t="inlineStr">
        <is>
          <t>cái</t>
        </is>
      </c>
      <c r="E819" s="61" t="inlineStr">
        <is>
          <t>cái</t>
        </is>
      </c>
      <c r="F819" s="88" t="n">
        <v>24105</v>
      </c>
      <c r="G819" s="88" t="n">
        <v>24105</v>
      </c>
      <c r="H819" s="44">
        <f>IF(OR(ISNUMBER(F819),ISNUMBER(G819)),N(F819)-N(G819),"")</f>
        <v/>
      </c>
      <c r="I819" s="137" t="n"/>
      <c r="J819" s="117">
        <f>IF(OR(ISNUMBER(F819),ISNUMBER(G819)),IF(ISBLANK(G819),"⚠️ Chưa bóc tách định mức",IF(H819&gt;=0,"✅ OK - Cho phép đặt hàng","❌ CHẶN ĐẶT HÀNG - CẦN BẢO VỆ KL")),"")</f>
        <v/>
      </c>
      <c r="K819" s="138">
        <f>IF(OR(ISNUMBER(F819),ISNUMBER(G819)),IF(ISBLANK(G819),"Kỹ sư/Thầu phụ cần bóc tách KL bản vẽ",IF(H819&gt;=0,"Được đặt hàng tối đa "&amp;G819&amp;" "&amp;E819,"Vượt dự toán "&amp;ABS(H819)&amp;" "&amp;E819&amp;" (QS giải trình &amp; duyệt sửa BOQ)")),"")</f>
        <v/>
      </c>
    </row>
    <row r="820" ht="15.6" customHeight="1" s="75">
      <c r="A820" s="58" t="inlineStr">
        <is>
          <t>DHKK-D.I1.4.10</t>
        </is>
      </c>
      <c r="B820" s="139" t="n"/>
      <c r="C820" s="99" t="inlineStr">
        <is>
          <t>Co 45 uPVC D27 PN9</t>
        </is>
      </c>
      <c r="D820" s="61" t="inlineStr">
        <is>
          <t>cái</t>
        </is>
      </c>
      <c r="E820" s="61" t="inlineStr">
        <is>
          <t>cái</t>
        </is>
      </c>
      <c r="F820" s="88" t="n">
        <v>4680</v>
      </c>
      <c r="G820" s="88" t="n">
        <v>4680</v>
      </c>
      <c r="H820" s="44">
        <f>IF(OR(ISNUMBER(F820),ISNUMBER(G820)),N(F820)-N(G820),"")</f>
        <v/>
      </c>
      <c r="I820" s="137" t="n"/>
      <c r="J820" s="117">
        <f>IF(OR(ISNUMBER(F820),ISNUMBER(G820)),IF(ISBLANK(G820),"⚠️ Chưa bóc tách định mức",IF(H820&gt;=0,"✅ OK - Cho phép đặt hàng","❌ CHẶN ĐẶT HÀNG - CẦN BẢO VỆ KL")),"")</f>
        <v/>
      </c>
      <c r="K820" s="138">
        <f>IF(OR(ISNUMBER(F820),ISNUMBER(G820)),IF(ISBLANK(G820),"Kỹ sư/Thầu phụ cần bóc tách KL bản vẽ",IF(H820&gt;=0,"Được đặt hàng tối đa "&amp;G820&amp;" "&amp;E820,"Vượt dự toán "&amp;ABS(H820)&amp;" "&amp;E820&amp;" (QS giải trình &amp; duyệt sửa BOQ)")),"")</f>
        <v/>
      </c>
    </row>
    <row r="821" ht="15.6" customHeight="1" s="75">
      <c r="A821" s="58" t="inlineStr">
        <is>
          <t>DHKK-D.I1.4.11</t>
        </is>
      </c>
      <c r="B821" s="139" t="n"/>
      <c r="C821" s="99" t="inlineStr">
        <is>
          <t>Co 90 uPVC D21 PN9</t>
        </is>
      </c>
      <c r="D821" s="61" t="inlineStr">
        <is>
          <t>cái</t>
        </is>
      </c>
      <c r="E821" s="61" t="inlineStr">
        <is>
          <t>cái</t>
        </is>
      </c>
      <c r="F821" s="88" t="n">
        <v>780</v>
      </c>
      <c r="G821" s="88" t="n">
        <v>780</v>
      </c>
      <c r="H821" s="44">
        <f>IF(OR(ISNUMBER(F821),ISNUMBER(G821)),N(F821)-N(G821),"")</f>
        <v/>
      </c>
      <c r="I821" s="137" t="n"/>
      <c r="J821" s="117">
        <f>IF(OR(ISNUMBER(F821),ISNUMBER(G821)),IF(ISBLANK(G821),"⚠️ Chưa bóc tách định mức",IF(H821&gt;=0,"✅ OK - Cho phép đặt hàng","❌ CHẶN ĐẶT HÀNG - CẦN BẢO VỆ KL")),"")</f>
        <v/>
      </c>
      <c r="K821" s="138">
        <f>IF(OR(ISNUMBER(F821),ISNUMBER(G821)),IF(ISBLANK(G821),"Kỹ sư/Thầu phụ cần bóc tách KL bản vẽ",IF(H821&gt;=0,"Được đặt hàng tối đa "&amp;G821&amp;" "&amp;E821,"Vượt dự toán "&amp;ABS(H821)&amp;" "&amp;E821&amp;" (QS giải trình &amp; duyệt sửa BOQ)")),"")</f>
        <v/>
      </c>
    </row>
    <row r="822" ht="15.6" customHeight="1" s="75">
      <c r="A822" s="58" t="inlineStr">
        <is>
          <t>DHKK-D.I1.4.12</t>
        </is>
      </c>
      <c r="B822" s="139" t="n"/>
      <c r="C822" s="99" t="inlineStr">
        <is>
          <t>Co 90 uPVC D27 PN9</t>
        </is>
      </c>
      <c r="D822" s="61" t="inlineStr">
        <is>
          <t>cái</t>
        </is>
      </c>
      <c r="E822" s="61" t="inlineStr">
        <is>
          <t>cái</t>
        </is>
      </c>
      <c r="F822" s="88" t="n">
        <v>936</v>
      </c>
      <c r="G822" s="88" t="n">
        <v>936</v>
      </c>
      <c r="H822" s="44">
        <f>IF(OR(ISNUMBER(F822),ISNUMBER(G822)),N(F822)-N(G822),"")</f>
        <v/>
      </c>
      <c r="I822" s="137" t="n"/>
      <c r="J822" s="117">
        <f>IF(OR(ISNUMBER(F822),ISNUMBER(G822)),IF(ISBLANK(G822),"⚠️ Chưa bóc tách định mức",IF(H822&gt;=0,"✅ OK - Cho phép đặt hàng","❌ CHẶN ĐẶT HÀNG - CẦN BẢO VỆ KL")),"")</f>
        <v/>
      </c>
      <c r="K822" s="138">
        <f>IF(OR(ISNUMBER(F822),ISNUMBER(G822)),IF(ISBLANK(G822),"Kỹ sư/Thầu phụ cần bóc tách KL bản vẽ",IF(H822&gt;=0,"Được đặt hàng tối đa "&amp;G822&amp;" "&amp;E822,"Vượt dự toán "&amp;ABS(H822)&amp;" "&amp;E822&amp;" (QS giải trình &amp; duyệt sửa BOQ)")),"")</f>
        <v/>
      </c>
    </row>
    <row r="823" ht="15.6" customHeight="1" s="75">
      <c r="A823" s="58" t="inlineStr">
        <is>
          <t>DHKK-D.I1.4.13</t>
        </is>
      </c>
      <c r="B823" s="139" t="n"/>
      <c r="C823" s="99" t="inlineStr">
        <is>
          <t>T đều uPVC D21 PN9</t>
        </is>
      </c>
      <c r="D823" s="61" t="inlineStr">
        <is>
          <t>cái</t>
        </is>
      </c>
      <c r="E823" s="61" t="inlineStr">
        <is>
          <t>cái</t>
        </is>
      </c>
      <c r="F823" s="88" t="n">
        <v>910</v>
      </c>
      <c r="G823" s="88" t="n">
        <v>910</v>
      </c>
      <c r="H823" s="44">
        <f>IF(OR(ISNUMBER(F823),ISNUMBER(G823)),N(F823)-N(G823),"")</f>
        <v/>
      </c>
      <c r="I823" s="137" t="n"/>
      <c r="J823" s="117">
        <f>IF(OR(ISNUMBER(F823),ISNUMBER(G823)),IF(ISBLANK(G823),"⚠️ Chưa bóc tách định mức",IF(H823&gt;=0,"✅ OK - Cho phép đặt hàng","❌ CHẶN ĐẶT HÀNG - CẦN BẢO VỆ KL")),"")</f>
        <v/>
      </c>
      <c r="K823" s="138">
        <f>IF(OR(ISNUMBER(F823),ISNUMBER(G823)),IF(ISBLANK(G823),"Kỹ sư/Thầu phụ cần bóc tách KL bản vẽ",IF(H823&gt;=0,"Được đặt hàng tối đa "&amp;G823&amp;" "&amp;E823,"Vượt dự toán "&amp;ABS(H823)&amp;" "&amp;E823&amp;" (QS giải trình &amp; duyệt sửa BOQ)")),"")</f>
        <v/>
      </c>
    </row>
    <row r="824" ht="16.5" customHeight="1" s="75">
      <c r="A824" s="58" t="inlineStr">
        <is>
          <t>DHKK-D.I1.4.14</t>
        </is>
      </c>
      <c r="B824" s="139" t="n"/>
      <c r="C824" s="99" t="inlineStr">
        <is>
          <t>T đều uPVC D27 PN9</t>
        </is>
      </c>
      <c r="D824" s="61" t="inlineStr">
        <is>
          <t>cái</t>
        </is>
      </c>
      <c r="E824" s="61" t="inlineStr">
        <is>
          <t>cái</t>
        </is>
      </c>
      <c r="F824" s="91" t="n">
        <v>936</v>
      </c>
      <c r="G824" s="91" t="n">
        <v>936</v>
      </c>
      <c r="H824" s="44">
        <f>IF(OR(ISNUMBER(F824),ISNUMBER(G824)),N(F824)-N(G824),"")</f>
        <v/>
      </c>
      <c r="I824" s="137" t="n"/>
      <c r="J824" s="117">
        <f>IF(OR(ISNUMBER(F824),ISNUMBER(G824)),IF(ISBLANK(G824),"⚠️ Chưa bóc tách định mức",IF(H824&gt;=0,"✅ OK - Cho phép đặt hàng","❌ CHẶN ĐẶT HÀNG - CẦN BẢO VỆ KL")),"")</f>
        <v/>
      </c>
      <c r="K824" s="138">
        <f>IF(OR(ISNUMBER(F824),ISNUMBER(G824)),IF(ISBLANK(G824),"Kỹ sư/Thầu phụ cần bóc tách KL bản vẽ",IF(H824&gt;=0,"Được đặt hàng tối đa "&amp;G824&amp;" "&amp;E824,"Vượt dự toán "&amp;ABS(H824)&amp;" "&amp;E824&amp;" (QS giải trình &amp; duyệt sửa BOQ)")),"")</f>
        <v/>
      </c>
    </row>
    <row r="825" ht="15.6" customHeight="1" s="75">
      <c r="A825" s="58" t="inlineStr">
        <is>
          <t>DHKK-D.I1.4.15</t>
        </is>
      </c>
      <c r="B825" s="139" t="n"/>
      <c r="C825" s="99" t="inlineStr">
        <is>
          <t>Y đều uPVC D27 PN9</t>
        </is>
      </c>
      <c r="D825" s="61" t="inlineStr">
        <is>
          <t>cái</t>
        </is>
      </c>
      <c r="E825" s="61" t="inlineStr">
        <is>
          <t>cái</t>
        </is>
      </c>
      <c r="F825" s="88" t="n">
        <v>1378</v>
      </c>
      <c r="G825" s="88" t="n">
        <v>1378</v>
      </c>
      <c r="H825" s="44">
        <f>IF(OR(ISNUMBER(F825),ISNUMBER(G825)),N(F825)-N(G825),"")</f>
        <v/>
      </c>
      <c r="I825" s="137" t="n"/>
      <c r="J825" s="117">
        <f>IF(OR(ISNUMBER(F825),ISNUMBER(G825)),IF(ISBLANK(G825),"⚠️ Chưa bóc tách định mức",IF(H825&gt;=0,"✅ OK - Cho phép đặt hàng","❌ CHẶN ĐẶT HÀNG - CẦN BẢO VỆ KL")),"")</f>
        <v/>
      </c>
      <c r="K825" s="138">
        <f>IF(OR(ISNUMBER(F825),ISNUMBER(G825)),IF(ISBLANK(G825),"Kỹ sư/Thầu phụ cần bóc tách KL bản vẽ",IF(H825&gt;=0,"Được đặt hàng tối đa "&amp;G825&amp;" "&amp;E825,"Vượt dự toán "&amp;ABS(H825)&amp;" "&amp;E825&amp;" (QS giải trình &amp; duyệt sửa BOQ)")),"")</f>
        <v/>
      </c>
    </row>
    <row r="826" ht="15.6" customHeight="1" s="75">
      <c r="A826" s="58" t="inlineStr">
        <is>
          <t>DHKK-D.I1.5.0</t>
        </is>
      </c>
      <c r="B826" s="37" t="n">
        <v>5</v>
      </c>
      <c r="C826" s="98" t="inlineStr">
        <is>
          <t>Cách nhiệt ống nước ngưng</t>
        </is>
      </c>
      <c r="D826" s="24" t="n"/>
      <c r="E826" s="24" t="n"/>
      <c r="F826" s="88" t="n">
        <v>0</v>
      </c>
      <c r="G826" s="85" t="n"/>
      <c r="H826" s="44">
        <f>IF(OR(ISNUMBER(F826),ISNUMBER(G826)),N(F826)-N(G826),"")</f>
        <v/>
      </c>
      <c r="I826" s="137" t="n"/>
      <c r="J826" s="117">
        <f>IF(OR(ISNUMBER(F826),ISNUMBER(G826)),IF(ISBLANK(G826),"⚠️ Chưa bóc tách định mức",IF(H826&gt;=0,"✅ OK - Cho phép đặt hàng","❌ CHẶN ĐẶT HÀNG - CẦN BẢO VỆ KL")),"")</f>
        <v/>
      </c>
      <c r="K826" s="138">
        <f>IF(OR(ISNUMBER(F826),ISNUMBER(G826)),IF(ISBLANK(G826),"Kỹ sư/Thầu phụ cần bóc tách KL bản vẽ",IF(H826&gt;=0,"Được đặt hàng tối đa "&amp;G826&amp;" "&amp;E826,"Vượt dự toán "&amp;ABS(H826)&amp;" "&amp;E826&amp;" (QS giải trình &amp; duyệt sửa BOQ)")),"")</f>
        <v/>
      </c>
    </row>
    <row r="827" ht="15.6" customHeight="1" s="75">
      <c r="A827" s="58" t="inlineStr">
        <is>
          <t>DHKK-D.I1.5.1</t>
        </is>
      </c>
      <c r="B827" s="139" t="n"/>
      <c r="C827" s="108" t="inlineStr">
        <is>
          <t>Bảo ôn ống nước ngưng Ø21 dày 9mm</t>
        </is>
      </c>
      <c r="D827" s="61" t="inlineStr">
        <is>
          <t>m</t>
        </is>
      </c>
      <c r="E827" s="61" t="inlineStr">
        <is>
          <t>m</t>
        </is>
      </c>
      <c r="F827" s="88" t="n">
        <v>6159</v>
      </c>
      <c r="G827" s="88" t="n">
        <v>6920</v>
      </c>
      <c r="H827" s="60">
        <f>IF(OR(ISNUMBER(F827),ISNUMBER(G827)),N(F827)-N(G827),"")</f>
        <v/>
      </c>
      <c r="I827" s="137" t="n"/>
      <c r="J827" s="117">
        <f>IF(OR(ISNUMBER(F827),ISNUMBER(G827)),IF(ISBLANK(G827),"⚠️ Chưa bóc tách định mức",IF(H827&gt;=0,"✅ OK - Cho phép đặt hàng","❌ CHẶN ĐẶT HÀNG - CẦN BẢO VỆ KL")),"")</f>
        <v/>
      </c>
      <c r="K827" s="138">
        <f>IF(OR(ISNUMBER(F827),ISNUMBER(G827)),IF(ISBLANK(G827),"Kỹ sư/Thầu phụ cần bóc tách KL bản vẽ",IF(H827&gt;=0,"Được đặt hàng tối đa "&amp;G827&amp;" "&amp;E827,"Vượt dự toán "&amp;ABS(H827)&amp;" "&amp;E827&amp;" (QS giải trình &amp; duyệt sửa BOQ)")),"")</f>
        <v/>
      </c>
    </row>
    <row r="828" ht="15.6" customHeight="1" s="75">
      <c r="A828" s="58" t="inlineStr">
        <is>
          <t>DHKK-D.I1.5.2</t>
        </is>
      </c>
      <c r="B828" s="139" t="n"/>
      <c r="C828" s="98" t="inlineStr">
        <is>
          <t>Bảo ôn ống nước ngưng Ø21 dày 13mm</t>
        </is>
      </c>
      <c r="D828" s="61" t="inlineStr">
        <is>
          <t>m</t>
        </is>
      </c>
      <c r="E828" s="61" t="inlineStr">
        <is>
          <t>m</t>
        </is>
      </c>
      <c r="F828" s="88" t="n">
        <v>5013</v>
      </c>
      <c r="G828" s="88" t="n">
        <v>7964</v>
      </c>
      <c r="H828" s="60">
        <f>IF(OR(ISNUMBER(F828),ISNUMBER(G828)),N(F828)-N(G828),"")</f>
        <v/>
      </c>
      <c r="I828" s="137" t="n"/>
      <c r="J828" s="117">
        <f>IF(OR(ISNUMBER(F828),ISNUMBER(G828)),IF(ISBLANK(G828),"⚠️ Chưa bóc tách định mức",IF(H828&gt;=0,"✅ OK - Cho phép đặt hàng","❌ CHẶN ĐẶT HÀNG - CẦN BẢO VỆ KL")),"")</f>
        <v/>
      </c>
      <c r="K828" s="138">
        <f>IF(OR(ISNUMBER(F828),ISNUMBER(G828)),IF(ISBLANK(G828),"Kỹ sư/Thầu phụ cần bóc tách KL bản vẽ",IF(H828&gt;=0,"Được đặt hàng tối đa "&amp;G828&amp;" "&amp;E828,"Vượt dự toán "&amp;ABS(H828)&amp;" "&amp;E828&amp;" (QS giải trình &amp; duyệt sửa BOQ)")),"")</f>
        <v/>
      </c>
    </row>
    <row r="829" ht="15.6" customHeight="1" s="75">
      <c r="A829" s="58" t="inlineStr">
        <is>
          <t>DHKK-D.I1.5.3</t>
        </is>
      </c>
      <c r="B829" s="139" t="n"/>
      <c r="C829" s="108" t="inlineStr">
        <is>
          <t>Bảo ôn ống nước ngưng Ø27 dày 13mm</t>
        </is>
      </c>
      <c r="D829" s="61" t="inlineStr">
        <is>
          <t>m</t>
        </is>
      </c>
      <c r="E829" s="61" t="inlineStr">
        <is>
          <t>m</t>
        </is>
      </c>
      <c r="F829" s="88" t="n">
        <v>3443</v>
      </c>
      <c r="G829" s="88" t="n">
        <v>2688</v>
      </c>
      <c r="H829" s="42">
        <f>IF(OR(ISNUMBER(F829),ISNUMBER(G829)),N(F829)-N(G829),"")</f>
        <v/>
      </c>
      <c r="I829" s="137" t="n"/>
      <c r="J829" s="117">
        <f>IF(OR(ISNUMBER(F829),ISNUMBER(G829)),IF(ISBLANK(G829),"⚠️ Chưa bóc tách định mức",IF(H829&gt;=0,"✅ OK - Cho phép đặt hàng","❌ CHẶN ĐẶT HÀNG - CẦN BẢO VỆ KL")),"")</f>
        <v/>
      </c>
      <c r="K829" s="138">
        <f>IF(OR(ISNUMBER(F829),ISNUMBER(G829)),IF(ISBLANK(G829),"Kỹ sư/Thầu phụ cần bóc tách KL bản vẽ",IF(H829&gt;=0,"Được đặt hàng tối đa "&amp;G829&amp;" "&amp;E829,"Vượt dự toán "&amp;ABS(H829)&amp;" "&amp;E829&amp;" (QS giải trình &amp; duyệt sửa BOQ)")),"")</f>
        <v/>
      </c>
    </row>
    <row r="830" ht="15.6" customHeight="1" s="75">
      <c r="A830" s="58" t="inlineStr">
        <is>
          <t>DHKK-D.I1.6.0</t>
        </is>
      </c>
      <c r="B830" s="37" t="n">
        <v>6</v>
      </c>
      <c r="C830" s="98" t="inlineStr">
        <is>
          <t>Phần điều khiển</t>
        </is>
      </c>
      <c r="D830" s="24" t="n"/>
      <c r="E830" s="24" t="n"/>
      <c r="F830" s="85" t="n"/>
      <c r="G830" s="85" t="n"/>
      <c r="H830" s="25" t="n"/>
      <c r="I830" s="137" t="n"/>
    </row>
    <row r="831" ht="15.6" customHeight="1" s="75">
      <c r="A831" s="58" t="inlineStr">
        <is>
          <t>DHKK-D.I1.6.1</t>
        </is>
      </c>
      <c r="B831" s="139" t="n"/>
      <c r="C831" s="99" t="inlineStr">
        <is>
          <t>4Cx1.5mm2 Cu/PVC</t>
        </is>
      </c>
      <c r="D831" s="61" t="inlineStr">
        <is>
          <t>m</t>
        </is>
      </c>
      <c r="E831" s="61" t="inlineStr">
        <is>
          <t>m</t>
        </is>
      </c>
      <c r="F831" s="88" t="n">
        <v>19773</v>
      </c>
      <c r="G831" s="88" t="n">
        <v>19864</v>
      </c>
      <c r="H831" s="60">
        <f>IF(OR(ISNUMBER(F831),ISNUMBER(G831)),N(F831)-N(G831),"")</f>
        <v/>
      </c>
      <c r="I831" s="137" t="n"/>
      <c r="J831" s="117">
        <f>IF(OR(ISNUMBER(F831),ISNUMBER(G831)),IF(ISBLANK(G831),"⚠️ Chưa bóc tách định mức",IF(H831&gt;=0,"✅ OK - Cho phép đặt hàng","❌ CHẶN ĐẶT HÀNG - CẦN BẢO VỆ KL")),"")</f>
        <v/>
      </c>
      <c r="K831" s="138">
        <f>IF(OR(ISNUMBER(F831),ISNUMBER(G831)),IF(ISBLANK(G831),"Kỹ sư/Thầu phụ cần bóc tách KL bản vẽ",IF(H831&gt;=0,"Được đặt hàng tối đa "&amp;G831&amp;" "&amp;E831,"Vượt dự toán "&amp;ABS(H831)&amp;" "&amp;E831&amp;" (QS giải trình &amp; duyệt sửa BOQ)")),"")</f>
        <v/>
      </c>
    </row>
    <row r="832" ht="15.6" customHeight="1" s="75">
      <c r="A832" s="58" t="inlineStr">
        <is>
          <t>DHKK-D.I1.6.2</t>
        </is>
      </c>
      <c r="B832" s="24" t="n"/>
      <c r="C832" s="99" t="inlineStr">
        <is>
          <t>1Cx1.5mm2 Cu/PVC Đỏ</t>
        </is>
      </c>
      <c r="D832" s="61" t="inlineStr">
        <is>
          <t>m</t>
        </is>
      </c>
      <c r="E832" s="61" t="inlineStr">
        <is>
          <t>m</t>
        </is>
      </c>
      <c r="F832" s="88" t="n">
        <v>19773</v>
      </c>
      <c r="G832" s="88" t="n">
        <v>19864</v>
      </c>
      <c r="H832" s="60">
        <f>IF(OR(ISNUMBER(F832),ISNUMBER(G832)),N(F832)-N(G832),"")</f>
        <v/>
      </c>
      <c r="I832" s="137" t="n"/>
      <c r="J832" s="117">
        <f>IF(OR(ISNUMBER(F832),ISNUMBER(G832)),IF(ISBLANK(G832),"⚠️ Chưa bóc tách định mức",IF(H832&gt;=0,"✅ OK - Cho phép đặt hàng","❌ CHẶN ĐẶT HÀNG - CẦN BẢO VỆ KL")),"")</f>
        <v/>
      </c>
      <c r="K832" s="138">
        <f>IF(OR(ISNUMBER(F832),ISNUMBER(G832)),IF(ISBLANK(G832),"Kỹ sư/Thầu phụ cần bóc tách KL bản vẽ",IF(H832&gt;=0,"Được đặt hàng tối đa "&amp;G832&amp;" "&amp;E832,"Vượt dự toán "&amp;ABS(H832)&amp;" "&amp;E832&amp;" (QS giải trình &amp; duyệt sửa BOQ)")),"")</f>
        <v/>
      </c>
    </row>
    <row r="833" ht="15.6" customHeight="1" s="75">
      <c r="A833" s="58" t="inlineStr">
        <is>
          <t>DHKK-D.I1.6.3</t>
        </is>
      </c>
      <c r="B833" s="24" t="n"/>
      <c r="C833" s="99" t="inlineStr">
        <is>
          <t>1Cx1.5mm2 Cu/PVC Đen</t>
        </is>
      </c>
      <c r="D833" s="61" t="inlineStr">
        <is>
          <t>m</t>
        </is>
      </c>
      <c r="E833" s="61" t="inlineStr">
        <is>
          <t>m</t>
        </is>
      </c>
      <c r="F833" s="88" t="n">
        <v>19773</v>
      </c>
      <c r="G833" s="88" t="n">
        <v>19864</v>
      </c>
      <c r="H833" s="60">
        <f>IF(OR(ISNUMBER(F833),ISNUMBER(G833)),N(F833)-N(G833),"")</f>
        <v/>
      </c>
      <c r="I833" s="137" t="n"/>
      <c r="J833" s="117">
        <f>IF(OR(ISNUMBER(F833),ISNUMBER(G833)),IF(ISBLANK(G833),"⚠️ Chưa bóc tách định mức",IF(H833&gt;=0,"✅ OK - Cho phép đặt hàng","❌ CHẶN ĐẶT HÀNG - CẦN BẢO VỆ KL")),"")</f>
        <v/>
      </c>
      <c r="K833" s="138">
        <f>IF(OR(ISNUMBER(F833),ISNUMBER(G833)),IF(ISBLANK(G833),"Kỹ sư/Thầu phụ cần bóc tách KL bản vẽ",IF(H833&gt;=0,"Được đặt hàng tối đa "&amp;G833&amp;" "&amp;E833,"Vượt dự toán "&amp;ABS(H833)&amp;" "&amp;E833&amp;" (QS giải trình &amp; duyệt sửa BOQ)")),"")</f>
        <v/>
      </c>
    </row>
    <row r="834" ht="15.6" customHeight="1" s="75">
      <c r="A834" s="58" t="inlineStr">
        <is>
          <t>DHKK-D.I1.6.4</t>
        </is>
      </c>
      <c r="B834" s="24" t="n"/>
      <c r="C834" s="99" t="inlineStr">
        <is>
          <t>1Cx1.5mm2 Cu/PVC Vàng</t>
        </is>
      </c>
      <c r="D834" s="61" t="inlineStr">
        <is>
          <t>m</t>
        </is>
      </c>
      <c r="E834" s="61" t="inlineStr">
        <is>
          <t>m</t>
        </is>
      </c>
      <c r="F834" s="88" t="n">
        <v>19773</v>
      </c>
      <c r="G834" s="88" t="n">
        <v>19864</v>
      </c>
      <c r="H834" s="60">
        <f>IF(OR(ISNUMBER(F834),ISNUMBER(G834)),N(F834)-N(G834),"")</f>
        <v/>
      </c>
      <c r="I834" s="137" t="n"/>
      <c r="J834" s="117">
        <f>IF(OR(ISNUMBER(F834),ISNUMBER(G834)),IF(ISBLANK(G834),"⚠️ Chưa bóc tách định mức",IF(H834&gt;=0,"✅ OK - Cho phép đặt hàng","❌ CHẶN ĐẶT HÀNG - CẦN BẢO VỆ KL")),"")</f>
        <v/>
      </c>
      <c r="K834" s="138">
        <f>IF(OR(ISNUMBER(F834),ISNUMBER(G834)),IF(ISBLANK(G834),"Kỹ sư/Thầu phụ cần bóc tách KL bản vẽ",IF(H834&gt;=0,"Được đặt hàng tối đa "&amp;G834&amp;" "&amp;E834,"Vượt dự toán "&amp;ABS(H834)&amp;" "&amp;E834&amp;" (QS giải trình &amp; duyệt sửa BOQ)")),"")</f>
        <v/>
      </c>
    </row>
    <row r="835" ht="15.6" customHeight="1" s="75">
      <c r="A835" s="58" t="inlineStr">
        <is>
          <t>DHKK-D.I1.6.5</t>
        </is>
      </c>
      <c r="B835" s="24" t="n"/>
      <c r="C835" s="99" t="inlineStr">
        <is>
          <t>1Cx1.5mm2 Cu/PVC Vàng sọc xanh</t>
        </is>
      </c>
      <c r="D835" s="61" t="inlineStr">
        <is>
          <t>m</t>
        </is>
      </c>
      <c r="E835" s="61" t="inlineStr">
        <is>
          <t>m</t>
        </is>
      </c>
      <c r="F835" s="88" t="n">
        <v>19773</v>
      </c>
      <c r="G835" s="88" t="n">
        <v>19864</v>
      </c>
      <c r="H835" s="60">
        <f>IF(OR(ISNUMBER(F835),ISNUMBER(G835)),N(F835)-N(G835),"")</f>
        <v/>
      </c>
      <c r="I835" s="137" t="n"/>
      <c r="J835" s="117">
        <f>IF(OR(ISNUMBER(F835),ISNUMBER(G835)),IF(ISBLANK(G835),"⚠️ Chưa bóc tách định mức",IF(H835&gt;=0,"✅ OK - Cho phép đặt hàng","❌ CHẶN ĐẶT HÀNG - CẦN BẢO VỆ KL")),"")</f>
        <v/>
      </c>
      <c r="K835" s="138">
        <f>IF(OR(ISNUMBER(F835),ISNUMBER(G835)),IF(ISBLANK(G835),"Kỹ sư/Thầu phụ cần bóc tách KL bản vẽ",IF(H835&gt;=0,"Được đặt hàng tối đa "&amp;G835&amp;" "&amp;E835,"Vượt dự toán "&amp;ABS(H835)&amp;" "&amp;E835&amp;" (QS giải trình &amp; duyệt sửa BOQ)")),"")</f>
        <v/>
      </c>
    </row>
    <row r="836" ht="15.6" customHeight="1" s="75">
      <c r="A836" s="58" t="inlineStr">
        <is>
          <t>DHKK-D.I2.0</t>
        </is>
      </c>
      <c r="B836" s="54" t="inlineStr">
        <is>
          <t>I.2</t>
        </is>
      </c>
      <c r="C836" s="104" t="inlineStr">
        <is>
          <t>PHẦN HÚT KHÍ THẢI WC, BẾP</t>
        </is>
      </c>
      <c r="D836" s="55" t="n"/>
      <c r="E836" s="55" t="n"/>
      <c r="F836" s="89" t="n"/>
      <c r="G836" s="89" t="n"/>
      <c r="H836" s="56" t="n"/>
      <c r="I836" s="149" t="n"/>
    </row>
    <row r="837" ht="15.6" customHeight="1" s="75">
      <c r="A837" s="58" t="inlineStr">
        <is>
          <t>DHKK-D.I2.1.0</t>
        </is>
      </c>
      <c r="B837" s="37" t="n">
        <v>1</v>
      </c>
      <c r="C837" s="98" t="inlineStr">
        <is>
          <t>Quạt thông gió</t>
        </is>
      </c>
      <c r="D837" s="24" t="n"/>
      <c r="E837" s="24" t="n"/>
      <c r="F837" s="88" t="n">
        <v>0</v>
      </c>
      <c r="G837" s="85" t="n"/>
      <c r="H837" s="44">
        <f>IF(OR(ISNUMBER(F837),ISNUMBER(G837)),N(F837)-N(G837),"")</f>
        <v/>
      </c>
      <c r="I837" s="137" t="n"/>
      <c r="J837" s="117">
        <f>IF(OR(ISNUMBER(F837),ISNUMBER(G837)),IF(ISBLANK(G837),"⚠️ Chưa bóc tách định mức",IF(H837&gt;=0,"✅ OK - Cho phép đặt hàng","❌ CHẶN ĐẶT HÀNG - CẦN BẢO VỆ KL")),"")</f>
        <v/>
      </c>
      <c r="K837" s="138">
        <f>IF(OR(ISNUMBER(F837),ISNUMBER(G837)),IF(ISBLANK(G837),"Kỹ sư/Thầu phụ cần bóc tách KL bản vẽ",IF(H837&gt;=0,"Được đặt hàng tối đa "&amp;G837&amp;" "&amp;E837,"Vượt dự toán "&amp;ABS(H837)&amp;" "&amp;E837&amp;" (QS giải trình &amp; duyệt sửa BOQ)")),"")</f>
        <v/>
      </c>
    </row>
    <row r="838" ht="42.9" customHeight="1" s="75">
      <c r="A838" s="58" t="inlineStr">
        <is>
          <t>DHKK-D.I2.1.1</t>
        </is>
      </c>
      <c r="B838" s="139" t="n"/>
      <c r="C838" s="98" t="inlineStr">
        <is>
          <t>Quạt gắn trần nối ống gió EAF
 + Lưu lượng: 25 L/s
 + Cột áp: 50Pa</t>
        </is>
      </c>
      <c r="D838" s="61" t="inlineStr">
        <is>
          <t>Bộ</t>
        </is>
      </c>
      <c r="E838" s="61" t="inlineStr">
        <is>
          <t>Bộ</t>
        </is>
      </c>
      <c r="F838" s="88" t="n">
        <v>1482</v>
      </c>
      <c r="G838" s="88" t="n">
        <v>1482</v>
      </c>
      <c r="H838" s="44">
        <f>IF(OR(ISNUMBER(F838),ISNUMBER(G838)),N(F838)-N(G838),"")</f>
        <v/>
      </c>
      <c r="I838" s="137" t="n"/>
      <c r="J838" s="117">
        <f>IF(OR(ISNUMBER(F838),ISNUMBER(G838)),IF(ISBLANK(G838),"⚠️ Chưa bóc tách định mức",IF(H838&gt;=0,"✅ OK - Cho phép đặt hàng","❌ CHẶN ĐẶT HÀNG - CẦN BẢO VỆ KL")),"")</f>
        <v/>
      </c>
      <c r="K838" s="138">
        <f>IF(OR(ISNUMBER(F838),ISNUMBER(G838)),IF(ISBLANK(G838),"Kỹ sư/Thầu phụ cần bóc tách KL bản vẽ",IF(H838&gt;=0,"Được đặt hàng tối đa "&amp;G838&amp;" "&amp;E838,"Vượt dự toán "&amp;ABS(H838)&amp;" "&amp;E838&amp;" (QS giải trình &amp; duyệt sửa BOQ)")),"")</f>
        <v/>
      </c>
    </row>
    <row r="839" ht="15.6" customHeight="1" s="75">
      <c r="A839" s="58" t="inlineStr">
        <is>
          <t>DHKK-D.I2.2.0</t>
        </is>
      </c>
      <c r="B839" s="37" t="n">
        <v>2</v>
      </c>
      <c r="C839" s="98" t="inlineStr">
        <is>
          <t>Ống gió và phụ kiện</t>
        </is>
      </c>
      <c r="D839" s="24" t="n"/>
      <c r="E839" s="24" t="n"/>
      <c r="F839" s="85" t="n"/>
      <c r="G839" s="85" t="n"/>
      <c r="H839" s="25" t="n"/>
      <c r="I839" s="137" t="n"/>
    </row>
    <row r="840" ht="15.6" customHeight="1" s="75">
      <c r="A840" s="58" t="inlineStr">
        <is>
          <t>DHKK-D.I2.2.1</t>
        </is>
      </c>
      <c r="B840" s="24" t="n"/>
      <c r="C840" s="98" t="inlineStr">
        <is>
          <t>Ống gió WC uPVC DN100 PN5</t>
        </is>
      </c>
      <c r="D840" s="61" t="inlineStr">
        <is>
          <t>m</t>
        </is>
      </c>
      <c r="E840" s="61" t="inlineStr">
        <is>
          <t>m</t>
        </is>
      </c>
      <c r="F840" s="88" t="n">
        <v>9039</v>
      </c>
      <c r="G840" s="88" t="n">
        <v>7919</v>
      </c>
      <c r="H840" s="42">
        <f>IF(OR(ISNUMBER(F840),ISNUMBER(G840)),N(F840)-N(G840),"")</f>
        <v/>
      </c>
      <c r="I840" s="137" t="n"/>
      <c r="J840" s="117">
        <f>IF(OR(ISNUMBER(F840),ISNUMBER(G840)),IF(ISBLANK(G840),"⚠️ Chưa bóc tách định mức",IF(H840&gt;=0,"✅ OK - Cho phép đặt hàng","❌ CHẶN ĐẶT HÀNG - CẦN BẢO VỆ KL")),"")</f>
        <v/>
      </c>
      <c r="K840" s="138">
        <f>IF(OR(ISNUMBER(F840),ISNUMBER(G840)),IF(ISBLANK(G840),"Kỹ sư/Thầu phụ cần bóc tách KL bản vẽ",IF(H840&gt;=0,"Được đặt hàng tối đa "&amp;G840&amp;" "&amp;E840,"Vượt dự toán "&amp;ABS(H840)&amp;" "&amp;E840&amp;" (QS giải trình &amp; duyệt sửa BOQ)")),"")</f>
        <v/>
      </c>
    </row>
    <row r="841" ht="15.6" customHeight="1" s="75">
      <c r="A841" s="58" t="inlineStr">
        <is>
          <t>DHKK-D.I2.2.2</t>
        </is>
      </c>
      <c r="B841" s="139" t="n"/>
      <c r="C841" s="98" t="inlineStr">
        <is>
          <t>Ống gió bếp uPVC DN125 PN5</t>
        </is>
      </c>
      <c r="D841" s="61" t="inlineStr">
        <is>
          <t>m</t>
        </is>
      </c>
      <c r="E841" s="61" t="inlineStr">
        <is>
          <t>m</t>
        </is>
      </c>
      <c r="F841" s="88" t="n">
        <v>4120</v>
      </c>
      <c r="G841" s="88" t="n">
        <v>3705</v>
      </c>
      <c r="H841" s="42">
        <f>IF(OR(ISNUMBER(F841),ISNUMBER(G841)),N(F841)-N(G841),"")</f>
        <v/>
      </c>
      <c r="I841" s="137" t="n"/>
      <c r="J841" s="117">
        <f>IF(OR(ISNUMBER(F841),ISNUMBER(G841)),IF(ISBLANK(G841),"⚠️ Chưa bóc tách định mức",IF(H841&gt;=0,"✅ OK - Cho phép đặt hàng","❌ CHẶN ĐẶT HÀNG - CẦN BẢO VỆ KL")),"")</f>
        <v/>
      </c>
      <c r="K841" s="138">
        <f>IF(OR(ISNUMBER(F841),ISNUMBER(G841)),IF(ISBLANK(G841),"Kỹ sư/Thầu phụ cần bóc tách KL bản vẽ",IF(H841&gt;=0,"Được đặt hàng tối đa "&amp;G841&amp;" "&amp;E841,"Vượt dự toán "&amp;ABS(H841)&amp;" "&amp;E841&amp;" (QS giải trình &amp; duyệt sửa BOQ)")),"")</f>
        <v/>
      </c>
    </row>
    <row r="842" ht="15.6" customHeight="1" s="75">
      <c r="A842" s="58" t="inlineStr">
        <is>
          <t>DHKK-D.I2.2.3</t>
        </is>
      </c>
      <c r="B842" s="139" t="n"/>
      <c r="C842" s="99" t="inlineStr">
        <is>
          <t>Nối trơn DN100 PN6</t>
        </is>
      </c>
      <c r="D842" s="61" t="inlineStr">
        <is>
          <t>Cái</t>
        </is>
      </c>
      <c r="E842" s="61" t="inlineStr">
        <is>
          <t>Cái</t>
        </is>
      </c>
      <c r="F842" s="88" t="n">
        <v>1127</v>
      </c>
      <c r="G842" s="88" t="n">
        <v>1127</v>
      </c>
      <c r="H842" s="44">
        <f>IF(OR(ISNUMBER(F842),ISNUMBER(G842)),N(F842)-N(G842),"")</f>
        <v/>
      </c>
      <c r="I842" s="137" t="n"/>
      <c r="J842" s="117">
        <f>IF(OR(ISNUMBER(F842),ISNUMBER(G842)),IF(ISBLANK(G842),"⚠️ Chưa bóc tách định mức",IF(H842&gt;=0,"✅ OK - Cho phép đặt hàng","❌ CHẶN ĐẶT HÀNG - CẦN BẢO VỆ KL")),"")</f>
        <v/>
      </c>
      <c r="K842" s="138">
        <f>IF(OR(ISNUMBER(F842),ISNUMBER(G842)),IF(ISBLANK(G842),"Kỹ sư/Thầu phụ cần bóc tách KL bản vẽ",IF(H842&gt;=0,"Được đặt hàng tối đa "&amp;G842&amp;" "&amp;E842,"Vượt dự toán "&amp;ABS(H842)&amp;" "&amp;E842&amp;" (QS giải trình &amp; duyệt sửa BOQ)")),"")</f>
        <v/>
      </c>
    </row>
    <row r="843" ht="15.6" customHeight="1" s="75">
      <c r="A843" s="58" t="inlineStr">
        <is>
          <t>DHKK-D.I2.2.4</t>
        </is>
      </c>
      <c r="B843" s="24" t="n"/>
      <c r="C843" s="99" t="inlineStr">
        <is>
          <t>Nối giảm uPVC DN100/DN80 PN6</t>
        </is>
      </c>
      <c r="D843" s="61" t="inlineStr">
        <is>
          <t>Cái</t>
        </is>
      </c>
      <c r="E843" s="61" t="inlineStr">
        <is>
          <t>Cái</t>
        </is>
      </c>
      <c r="F843" s="88" t="n">
        <v>1357</v>
      </c>
      <c r="G843" s="88" t="n">
        <v>1357</v>
      </c>
      <c r="H843" s="44">
        <f>IF(OR(ISNUMBER(F843),ISNUMBER(G843)),N(F843)-N(G843),"")</f>
        <v/>
      </c>
      <c r="I843" s="137" t="n"/>
      <c r="J843" s="117">
        <f>IF(OR(ISNUMBER(F843),ISNUMBER(G843)),IF(ISBLANK(G843),"⚠️ Chưa bóc tách định mức",IF(H843&gt;=0,"✅ OK - Cho phép đặt hàng","❌ CHẶN ĐẶT HÀNG - CẦN BẢO VỆ KL")),"")</f>
        <v/>
      </c>
      <c r="K843" s="138">
        <f>IF(OR(ISNUMBER(F843),ISNUMBER(G843)),IF(ISBLANK(G843),"Kỹ sư/Thầu phụ cần bóc tách KL bản vẽ",IF(H843&gt;=0,"Được đặt hàng tối đa "&amp;G843&amp;" "&amp;E843,"Vượt dự toán "&amp;ABS(H843)&amp;" "&amp;E843&amp;" (QS giải trình &amp; duyệt sửa BOQ)")),"")</f>
        <v/>
      </c>
    </row>
    <row r="844" ht="15.6" customHeight="1" s="75">
      <c r="A844" s="58" t="inlineStr">
        <is>
          <t>DHKK-D.I2.2.5</t>
        </is>
      </c>
      <c r="B844" s="139" t="n"/>
      <c r="C844" s="99" t="inlineStr">
        <is>
          <t>Co 45 uPVC D125 PN6</t>
        </is>
      </c>
      <c r="D844" s="61" t="inlineStr">
        <is>
          <t>Cái</t>
        </is>
      </c>
      <c r="E844" s="61" t="inlineStr">
        <is>
          <t>Cái</t>
        </is>
      </c>
      <c r="F844" s="88" t="n">
        <v>276</v>
      </c>
      <c r="G844" s="88" t="n">
        <v>276</v>
      </c>
      <c r="H844" s="44">
        <f>IF(OR(ISNUMBER(F844),ISNUMBER(G844)),N(F844)-N(G844),"")</f>
        <v/>
      </c>
      <c r="I844" s="137" t="n"/>
      <c r="J844" s="117">
        <f>IF(OR(ISNUMBER(F844),ISNUMBER(G844)),IF(ISBLANK(G844),"⚠️ Chưa bóc tách định mức",IF(H844&gt;=0,"✅ OK - Cho phép đặt hàng","❌ CHẶN ĐẶT HÀNG - CẦN BẢO VỆ KL")),"")</f>
        <v/>
      </c>
      <c r="K844" s="138">
        <f>IF(OR(ISNUMBER(F844),ISNUMBER(G844)),IF(ISBLANK(G844),"Kỹ sư/Thầu phụ cần bóc tách KL bản vẽ",IF(H844&gt;=0,"Được đặt hàng tối đa "&amp;G844&amp;" "&amp;E844,"Vượt dự toán "&amp;ABS(H844)&amp;" "&amp;E844&amp;" (QS giải trình &amp; duyệt sửa BOQ)")),"")</f>
        <v/>
      </c>
    </row>
    <row r="845" ht="15.6" customHeight="1" s="75">
      <c r="A845" s="58" t="inlineStr">
        <is>
          <t>DHKK-D.I2.2.6</t>
        </is>
      </c>
      <c r="B845" s="139" t="n"/>
      <c r="C845" s="99" t="inlineStr">
        <is>
          <t>Co 90 uPVC DN100 PN6</t>
        </is>
      </c>
      <c r="D845" s="61" t="inlineStr">
        <is>
          <t>Cái</t>
        </is>
      </c>
      <c r="E845" s="61" t="inlineStr">
        <is>
          <t>Cái</t>
        </is>
      </c>
      <c r="F845" s="88" t="n">
        <v>1242</v>
      </c>
      <c r="G845" s="88" t="n">
        <v>1242</v>
      </c>
      <c r="H845" s="44">
        <f>IF(OR(ISNUMBER(F845),ISNUMBER(G845)),N(F845)-N(G845),"")</f>
        <v/>
      </c>
      <c r="I845" s="137" t="n"/>
      <c r="J845" s="117">
        <f>IF(OR(ISNUMBER(F845),ISNUMBER(G845)),IF(ISBLANK(G845),"⚠️ Chưa bóc tách định mức",IF(H845&gt;=0,"✅ OK - Cho phép đặt hàng","❌ CHẶN ĐẶT HÀNG - CẦN BẢO VỆ KL")),"")</f>
        <v/>
      </c>
      <c r="K845" s="138">
        <f>IF(OR(ISNUMBER(F845),ISNUMBER(G845)),IF(ISBLANK(G845),"Kỹ sư/Thầu phụ cần bóc tách KL bản vẽ",IF(H845&gt;=0,"Được đặt hàng tối đa "&amp;G845&amp;" "&amp;E845,"Vượt dự toán "&amp;ABS(H845)&amp;" "&amp;E845&amp;" (QS giải trình &amp; duyệt sửa BOQ)")),"")</f>
        <v/>
      </c>
    </row>
    <row r="846" ht="15.6" customHeight="1" s="75">
      <c r="A846" s="58" t="inlineStr">
        <is>
          <t>DHKK-D.I2.2.7</t>
        </is>
      </c>
      <c r="B846" s="139" t="n"/>
      <c r="C846" s="99" t="inlineStr">
        <is>
          <t>Co 90 uPVC DN125 PN6</t>
        </is>
      </c>
      <c r="D846" s="61" t="inlineStr">
        <is>
          <t>Cái</t>
        </is>
      </c>
      <c r="E846" s="61" t="inlineStr">
        <is>
          <t>Cái</t>
        </is>
      </c>
      <c r="F846" s="88" t="n">
        <v>690</v>
      </c>
      <c r="G846" s="88" t="n">
        <v>690</v>
      </c>
      <c r="H846" s="44">
        <f>IF(OR(ISNUMBER(F846),ISNUMBER(G846)),N(F846)-N(G846),"")</f>
        <v/>
      </c>
      <c r="I846" s="137" t="n"/>
      <c r="J846" s="117">
        <f>IF(OR(ISNUMBER(F846),ISNUMBER(G846)),IF(ISBLANK(G846),"⚠️ Chưa bóc tách định mức",IF(H846&gt;=0,"✅ OK - Cho phép đặt hàng","❌ CHẶN ĐẶT HÀNG - CẦN BẢO VỆ KL")),"")</f>
        <v/>
      </c>
      <c r="K846" s="138">
        <f>IF(OR(ISNUMBER(F846),ISNUMBER(G846)),IF(ISBLANK(G846),"Kỹ sư/Thầu phụ cần bóc tách KL bản vẽ",IF(H846&gt;=0,"Được đặt hàng tối đa "&amp;G846&amp;" "&amp;E846,"Vượt dự toán "&amp;ABS(H846)&amp;" "&amp;E846&amp;" (QS giải trình &amp; duyệt sửa BOQ)")),"")</f>
        <v/>
      </c>
    </row>
    <row r="847" ht="15.6" customHeight="1" s="75">
      <c r="A847" s="58" t="inlineStr">
        <is>
          <t>DHKK-D.I2.2.8</t>
        </is>
      </c>
      <c r="B847" s="139" t="n"/>
      <c r="C847" s="99" t="inlineStr">
        <is>
          <t>T cong uPVC DN100 PN6</t>
        </is>
      </c>
      <c r="D847" s="61" t="inlineStr">
        <is>
          <t>Cái</t>
        </is>
      </c>
      <c r="E847" s="61" t="inlineStr">
        <is>
          <t>Cái</t>
        </is>
      </c>
      <c r="F847" s="88" t="n">
        <v>368</v>
      </c>
      <c r="G847" s="88" t="n">
        <v>368</v>
      </c>
      <c r="H847" s="44">
        <f>IF(OR(ISNUMBER(F847),ISNUMBER(G847)),N(F847)-N(G847),"")</f>
        <v/>
      </c>
      <c r="I847" s="137" t="n"/>
      <c r="J847" s="117">
        <f>IF(OR(ISNUMBER(F847),ISNUMBER(G847)),IF(ISBLANK(G847),"⚠️ Chưa bóc tách định mức",IF(H847&gt;=0,"✅ OK - Cho phép đặt hàng","❌ CHẶN ĐẶT HÀNG - CẦN BẢO VỆ KL")),"")</f>
        <v/>
      </c>
      <c r="K847" s="138">
        <f>IF(OR(ISNUMBER(F847),ISNUMBER(G847)),IF(ISBLANK(G847),"Kỹ sư/Thầu phụ cần bóc tách KL bản vẽ",IF(H847&gt;=0,"Được đặt hàng tối đa "&amp;G847&amp;" "&amp;E847,"Vượt dự toán "&amp;ABS(H847)&amp;" "&amp;E847&amp;" (QS giải trình &amp; duyệt sửa BOQ)")),"")</f>
        <v/>
      </c>
    </row>
    <row r="848" ht="15.6" customHeight="1" s="75">
      <c r="A848" s="58" t="inlineStr">
        <is>
          <t>DHKK-D.I2.3.0</t>
        </is>
      </c>
      <c r="B848" s="37" t="n">
        <v>3</v>
      </c>
      <c r="C848" s="98" t="inlineStr">
        <is>
          <t>Ống gió tole mạ kẽm dày 0.58mm</t>
        </is>
      </c>
      <c r="D848" s="61" t="inlineStr">
        <is>
          <t>m2</t>
        </is>
      </c>
      <c r="E848" s="61" t="inlineStr">
        <is>
          <t>m2</t>
        </is>
      </c>
      <c r="F848" s="88" t="n">
        <v>197</v>
      </c>
      <c r="G848" s="88" t="n">
        <v>324</v>
      </c>
      <c r="H848" s="44">
        <f>IF(OR(ISNUMBER(F848),ISNUMBER(G848)),N(F848)-N(G848),"")</f>
        <v/>
      </c>
      <c r="I848" s="137" t="n"/>
      <c r="J848" s="117">
        <f>IF(OR(ISNUMBER(F848),ISNUMBER(G848)),IF(ISBLANK(G848),"⚠️ Chưa bóc tách định mức",IF(H848&gt;=0,"✅ OK - Cho phép đặt hàng","❌ CHẶN ĐẶT HÀNG - CẦN BẢO VỆ KL")),"")</f>
        <v/>
      </c>
      <c r="K848" s="138">
        <f>IF(OR(ISNUMBER(F848),ISNUMBER(G848)),IF(ISBLANK(G848),"Kỹ sư/Thầu phụ cần bóc tách KL bản vẽ",IF(H848&gt;=0,"Được đặt hàng tối đa "&amp;G848&amp;" "&amp;E848,"Vượt dự toán "&amp;ABS(H848)&amp;" "&amp;E848&amp;" (QS giải trình &amp; duyệt sửa BOQ)")),"")</f>
        <v/>
      </c>
    </row>
    <row r="849" ht="56.1" customHeight="1" s="75">
      <c r="A849" s="58" t="inlineStr">
        <is>
          <t>DHKK-D.I2.3.1</t>
        </is>
      </c>
      <c r="B849" s="139" t="n"/>
      <c r="C849" s="99" t="inlineStr">
        <is>
          <t>Box EAL 410x160 L250(xem chi tiết chế tạo kèm theo)
 Mổ 1 nòng tròn D120 L50
 Mổ 1 nòng tròn D145 L50</t>
        </is>
      </c>
      <c r="D849" s="61" t="inlineStr">
        <is>
          <t>Cái</t>
        </is>
      </c>
      <c r="E849" s="61" t="inlineStr">
        <is>
          <t>Cái</t>
        </is>
      </c>
      <c r="F849" s="88" t="n">
        <v>546</v>
      </c>
      <c r="G849" s="88" t="n">
        <v>546</v>
      </c>
      <c r="H849" s="44">
        <f>IF(OR(ISNUMBER(F849),ISNUMBER(G849)),N(F849)-N(G849),"")</f>
        <v/>
      </c>
      <c r="I849" s="137" t="n"/>
      <c r="J849" s="117">
        <f>IF(OR(ISNUMBER(F849),ISNUMBER(G849)),IF(ISBLANK(G849),"⚠️ Chưa bóc tách định mức",IF(H849&gt;=0,"✅ OK - Cho phép đặt hàng","❌ CHẶN ĐẶT HÀNG - CẦN BẢO VỆ KL")),"")</f>
        <v/>
      </c>
      <c r="K849" s="138">
        <f>IF(OR(ISNUMBER(F849),ISNUMBER(G849)),IF(ISBLANK(G849),"Kỹ sư/Thầu phụ cần bóc tách KL bản vẽ",IF(H849&gt;=0,"Được đặt hàng tối đa "&amp;G849&amp;" "&amp;E849,"Vượt dự toán "&amp;ABS(H849)&amp;" "&amp;E849&amp;" (QS giải trình &amp; duyệt sửa BOQ)")),"")</f>
        <v/>
      </c>
    </row>
    <row r="850" ht="56.1" customHeight="1" s="75">
      <c r="A850" s="58" t="inlineStr">
        <is>
          <t>DHKK-D.I2.3.2</t>
        </is>
      </c>
      <c r="B850" s="139" t="n"/>
      <c r="C850" s="99" t="inlineStr">
        <is>
          <t>Box EAL 410x160 L250(xem chi tiết chế tạo kèm theo)
 Mổ 1 nòng tròn D120 L50 bằng đáy
 Mổ 1 nòng tròn D120 L50 bằng đáy</t>
        </is>
      </c>
      <c r="D850" s="61" t="inlineStr">
        <is>
          <t>Cái</t>
        </is>
      </c>
      <c r="E850" s="61" t="inlineStr">
        <is>
          <t>Cái</t>
        </is>
      </c>
      <c r="F850" s="88" t="n">
        <v>130</v>
      </c>
      <c r="G850" s="88" t="n">
        <v>130</v>
      </c>
      <c r="H850" s="44">
        <f>IF(OR(ISNUMBER(F850),ISNUMBER(G850)),N(F850)-N(G850),"")</f>
        <v/>
      </c>
      <c r="I850" s="137" t="n"/>
      <c r="J850" s="117">
        <f>IF(OR(ISNUMBER(F850),ISNUMBER(G850)),IF(ISBLANK(G850),"⚠️ Chưa bóc tách định mức",IF(H850&gt;=0,"✅ OK - Cho phép đặt hàng","❌ CHẶN ĐẶT HÀNG - CẦN BẢO VỆ KL")),"")</f>
        <v/>
      </c>
      <c r="K850" s="138">
        <f>IF(OR(ISNUMBER(F850),ISNUMBER(G850)),IF(ISBLANK(G850),"Kỹ sư/Thầu phụ cần bóc tách KL bản vẽ",IF(H850&gt;=0,"Được đặt hàng tối đa "&amp;G850&amp;" "&amp;E850,"Vượt dự toán "&amp;ABS(H850)&amp;" "&amp;E850&amp;" (QS giải trình &amp; duyệt sửa BOQ)")),"")</f>
        <v/>
      </c>
    </row>
    <row r="851" ht="56.1" customHeight="1" s="75">
      <c r="A851" s="58" t="inlineStr">
        <is>
          <t>DHKK-D.I2.3.3</t>
        </is>
      </c>
      <c r="B851" s="139" t="n"/>
      <c r="C851" s="99" t="inlineStr">
        <is>
          <t>Box EAL 310x160 L700(xem chi tiết chế tạo kèm theo)
 Mổ 1 nòng tròn D120 L50
 Kèm vuông tròn lệch tâm 200x160/D145 L100</t>
        </is>
      </c>
      <c r="D851" s="61" t="inlineStr">
        <is>
          <t>Cái</t>
        </is>
      </c>
      <c r="E851" s="61" t="inlineStr">
        <is>
          <t>Cái</t>
        </is>
      </c>
      <c r="F851" s="88" t="n">
        <v>130</v>
      </c>
      <c r="G851" s="88" t="n">
        <v>130</v>
      </c>
      <c r="H851" s="44">
        <f>IF(OR(ISNUMBER(F851),ISNUMBER(G851)),N(F851)-N(G851),"")</f>
        <v/>
      </c>
      <c r="I851" s="137" t="n"/>
      <c r="J851" s="117">
        <f>IF(OR(ISNUMBER(F851),ISNUMBER(G851)),IF(ISBLANK(G851),"⚠️ Chưa bóc tách định mức",IF(H851&gt;=0,"✅ OK - Cho phép đặt hàng","❌ CHẶN ĐẶT HÀNG - CẦN BẢO VỆ KL")),"")</f>
        <v/>
      </c>
      <c r="K851" s="138">
        <f>IF(OR(ISNUMBER(F851),ISNUMBER(G851)),IF(ISBLANK(G851),"Kỹ sư/Thầu phụ cần bóc tách KL bản vẽ",IF(H851&gt;=0,"Được đặt hàng tối đa "&amp;G851&amp;" "&amp;E851,"Vượt dự toán "&amp;ABS(H851)&amp;" "&amp;E851&amp;" (QS giải trình &amp; duyệt sửa BOQ)")),"")</f>
        <v/>
      </c>
    </row>
    <row r="852" ht="56.1" customHeight="1" s="75">
      <c r="A852" s="58" t="inlineStr">
        <is>
          <t>DHKK-D.I2.3.4</t>
        </is>
      </c>
      <c r="B852" s="139" t="n"/>
      <c r="C852" s="99" t="inlineStr">
        <is>
          <t>Box EAL 310x160 L700(xem chi tiết chế tạo kèm theo)
 Mổ 1 nòng tròn D120 L50
 Kèm vuông tròn lệch tâm 200x160/D145 L100</t>
        </is>
      </c>
      <c r="D852" s="61" t="inlineStr">
        <is>
          <t>Cái</t>
        </is>
      </c>
      <c r="E852" s="61" t="inlineStr">
        <is>
          <t>Cái</t>
        </is>
      </c>
      <c r="F852" s="88" t="n">
        <v>208</v>
      </c>
      <c r="G852" s="88" t="n">
        <v>208</v>
      </c>
      <c r="H852" s="44">
        <f>IF(OR(ISNUMBER(F852),ISNUMBER(G852)),N(F852)-N(G852),"")</f>
        <v/>
      </c>
      <c r="I852" s="137" t="n"/>
      <c r="J852" s="117">
        <f>IF(OR(ISNUMBER(F852),ISNUMBER(G852)),IF(ISBLANK(G852),"⚠️ Chưa bóc tách định mức",IF(H852&gt;=0,"✅ OK - Cho phép đặt hàng","❌ CHẶN ĐẶT HÀNG - CẦN BẢO VỆ KL")),"")</f>
        <v/>
      </c>
      <c r="K852" s="138">
        <f>IF(OR(ISNUMBER(F852),ISNUMBER(G852)),IF(ISBLANK(G852),"Kỹ sư/Thầu phụ cần bóc tách KL bản vẽ",IF(H852&gt;=0,"Được đặt hàng tối đa "&amp;G852&amp;" "&amp;E852,"Vượt dự toán "&amp;ABS(H852)&amp;" "&amp;E852&amp;" (QS giải trình &amp; duyệt sửa BOQ)")),"")</f>
        <v/>
      </c>
    </row>
    <row r="853" ht="15.6" customHeight="1" s="75">
      <c r="A853" s="58" t="inlineStr">
        <is>
          <t>DHKK-D.I2.3.5</t>
        </is>
      </c>
      <c r="B853" s="139" t="n"/>
      <c r="C853" s="99" t="inlineStr">
        <is>
          <t>Tấm tole 150x150 mổ nòng tròn D120 L50</t>
        </is>
      </c>
      <c r="D853" s="61" t="inlineStr">
        <is>
          <t>Cái</t>
        </is>
      </c>
      <c r="E853" s="61" t="inlineStr">
        <is>
          <t>Cái</t>
        </is>
      </c>
      <c r="F853" s="88" t="n">
        <v>20</v>
      </c>
      <c r="G853" s="88" t="n">
        <v>20</v>
      </c>
      <c r="H853" s="44">
        <f>IF(OR(ISNUMBER(F853),ISNUMBER(G853)),N(F853)-N(G853),"")</f>
        <v/>
      </c>
      <c r="I853" s="137" t="n"/>
      <c r="J853" s="117">
        <f>IF(OR(ISNUMBER(F853),ISNUMBER(G853)),IF(ISBLANK(G853),"⚠️ Chưa bóc tách định mức",IF(H853&gt;=0,"✅ OK - Cho phép đặt hàng","❌ CHẶN ĐẶT HÀNG - CẦN BẢO VỆ KL")),"")</f>
        <v/>
      </c>
      <c r="K853" s="138">
        <f>IF(OR(ISNUMBER(F853),ISNUMBER(G853)),IF(ISBLANK(G853),"Kỹ sư/Thầu phụ cần bóc tách KL bản vẽ",IF(H853&gt;=0,"Được đặt hàng tối đa "&amp;G853&amp;" "&amp;E853,"Vượt dự toán "&amp;ABS(H853)&amp;" "&amp;E853&amp;" (QS giải trình &amp; duyệt sửa BOQ)")),"")</f>
        <v/>
      </c>
    </row>
    <row r="854" ht="15.6" customHeight="1" s="75">
      <c r="A854" s="58" t="inlineStr">
        <is>
          <t>DHKK-D.I2.3.6</t>
        </is>
      </c>
      <c r="B854" s="139" t="n"/>
      <c r="C854" s="99" t="inlineStr">
        <is>
          <t>Ống gió mềm không cách nhiệt D100</t>
        </is>
      </c>
      <c r="D854" s="61" t="inlineStr">
        <is>
          <t>m</t>
        </is>
      </c>
      <c r="E854" s="61" t="inlineStr">
        <is>
          <t>m</t>
        </is>
      </c>
      <c r="F854" s="88" t="n">
        <v>2964</v>
      </c>
      <c r="G854" s="92" t="n">
        <v>3354</v>
      </c>
      <c r="H854" s="44">
        <f>IF(OR(ISNUMBER(F854),ISNUMBER(G854)),N(F854)-N(G854),"")</f>
        <v/>
      </c>
      <c r="I854" s="137" t="n"/>
      <c r="J854" s="117">
        <f>IF(OR(ISNUMBER(F854),ISNUMBER(G854)),IF(ISBLANK(G854),"⚠️ Chưa bóc tách định mức",IF(H854&gt;=0,"✅ OK - Cho phép đặt hàng","❌ CHẶN ĐẶT HÀNG - CẦN BẢO VỆ KL")),"")</f>
        <v/>
      </c>
      <c r="K854" s="138">
        <f>IF(OR(ISNUMBER(F854),ISNUMBER(G854)),IF(ISBLANK(G854),"Kỹ sư/Thầu phụ cần bóc tách KL bản vẽ",IF(H854&gt;=0,"Được đặt hàng tối đa "&amp;G854&amp;" "&amp;E854,"Vượt dự toán "&amp;ABS(H854)&amp;" "&amp;E854&amp;" (QS giải trình &amp; duyệt sửa BOQ)")),"")</f>
        <v/>
      </c>
    </row>
    <row r="855" ht="15.6" customHeight="1" s="75">
      <c r="A855" s="58" t="inlineStr">
        <is>
          <t>DHKK-D.I2.3.7</t>
        </is>
      </c>
      <c r="B855" s="139" t="n"/>
      <c r="C855" s="99" t="inlineStr">
        <is>
          <t>Ống gió mềm không cách nhiệt D150</t>
        </is>
      </c>
      <c r="D855" s="61" t="inlineStr">
        <is>
          <t>m</t>
        </is>
      </c>
      <c r="E855" s="61" t="inlineStr">
        <is>
          <t>m</t>
        </is>
      </c>
      <c r="F855" s="88" t="n">
        <v>1976</v>
      </c>
      <c r="G855" s="92" t="n">
        <v>2808</v>
      </c>
      <c r="H855" s="44">
        <f>IF(OR(ISNUMBER(F855),ISNUMBER(G855)),N(F855)-N(G855),"")</f>
        <v/>
      </c>
      <c r="I855" s="137" t="n"/>
      <c r="J855" s="117">
        <f>IF(OR(ISNUMBER(F855),ISNUMBER(G855)),IF(ISBLANK(G855),"⚠️ Chưa bóc tách định mức",IF(H855&gt;=0,"✅ OK - Cho phép đặt hàng","❌ CHẶN ĐẶT HÀNG - CẦN BẢO VỆ KL")),"")</f>
        <v/>
      </c>
      <c r="K855" s="138">
        <f>IF(OR(ISNUMBER(F855),ISNUMBER(G855)),IF(ISBLANK(G855),"Kỹ sư/Thầu phụ cần bóc tách KL bản vẽ",IF(H855&gt;=0,"Được đặt hàng tối đa "&amp;G855&amp;" "&amp;E855,"Vượt dự toán "&amp;ABS(H855)&amp;" "&amp;E855&amp;" (QS giải trình &amp; duyệt sửa BOQ)")),"")</f>
        <v/>
      </c>
    </row>
    <row r="856" ht="13.8" customHeight="1" s="75">
      <c r="A856" s="80" t="n"/>
      <c r="B856" s="24" t="n"/>
      <c r="C856" s="101" t="n"/>
      <c r="D856" s="24" t="n"/>
      <c r="E856" s="24" t="n"/>
      <c r="F856" s="88" t="n">
        <v>0</v>
      </c>
      <c r="G856" s="85" t="n"/>
      <c r="H856" s="44">
        <f>IF(OR(ISNUMBER(F856),ISNUMBER(G856)),N(F856)-N(G856),"")</f>
        <v/>
      </c>
      <c r="I856" s="137" t="n"/>
      <c r="J856" s="117">
        <f>IF(OR(ISNUMBER(F856),ISNUMBER(G856)),IF(ISBLANK(G856),"⚠️ Chưa bóc tách định mức",IF(H856&gt;=0,"✅ OK - Cho phép đặt hàng","❌ CHẶN ĐẶT HÀNG - CẦN BẢO VỆ KL")),"")</f>
        <v/>
      </c>
      <c r="K856" s="138">
        <f>IF(OR(ISNUMBER(F856),ISNUMBER(G856)),IF(ISBLANK(G856),"Kỹ sư/Thầu phụ cần bóc tách KL bản vẽ",IF(H856&gt;=0,"Được đặt hàng tối đa "&amp;G856&amp;" "&amp;E856,"Vượt dự toán "&amp;ABS(H856)&amp;" "&amp;E856&amp;" (QS giải trình &amp; duyệt sửa BOQ)")),"")</f>
        <v/>
      </c>
    </row>
    <row r="857" ht="15.6" customHeight="1" s="75">
      <c r="A857" s="58" t="inlineStr">
        <is>
          <t>DHKK-D.I3.1.0</t>
        </is>
      </c>
      <c r="B857" s="37" t="inlineStr">
        <is>
          <t>I.3</t>
        </is>
      </c>
      <c r="C857" s="98" t="inlineStr">
        <is>
          <t>Miệng gió, van gió</t>
        </is>
      </c>
      <c r="D857" s="24" t="n"/>
      <c r="E857" s="24" t="n"/>
      <c r="F857" s="88" t="n">
        <v>0</v>
      </c>
      <c r="G857" s="85" t="n"/>
      <c r="H857" s="44">
        <f>IF(OR(ISNUMBER(F857),ISNUMBER(G857)),N(F857)-N(G857),"")</f>
        <v/>
      </c>
      <c r="I857" s="137" t="n"/>
      <c r="J857" s="117">
        <f>IF(OR(ISNUMBER(F857),ISNUMBER(G857)),IF(ISBLANK(G857),"⚠️ Chưa bóc tách định mức",IF(H857&gt;=0,"✅ OK - Cho phép đặt hàng","❌ CHẶN ĐẶT HÀNG - CẦN BẢO VỆ KL")),"")</f>
        <v/>
      </c>
      <c r="K857" s="138">
        <f>IF(OR(ISNUMBER(F857),ISNUMBER(G857)),IF(ISBLANK(G857),"Kỹ sư/Thầu phụ cần bóc tách KL bản vẽ",IF(H857&gt;=0,"Được đặt hàng tối đa "&amp;G857&amp;" "&amp;E857,"Vượt dự toán "&amp;ABS(H857)&amp;" "&amp;E857&amp;" (QS giải trình &amp; duyệt sửa BOQ)")),"")</f>
        <v/>
      </c>
    </row>
    <row r="858" ht="15.6" customHeight="1" s="75">
      <c r="A858" s="58" t="inlineStr">
        <is>
          <t>DHKK-D.I3.1.1</t>
        </is>
      </c>
      <c r="B858" s="24" t="n"/>
      <c r="C858" s="99" t="inlineStr">
        <is>
          <t>EAL 400x150 + I.S</t>
        </is>
      </c>
      <c r="D858" s="61" t="inlineStr">
        <is>
          <t>Cái</t>
        </is>
      </c>
      <c r="E858" s="61" t="inlineStr">
        <is>
          <t>Cái</t>
        </is>
      </c>
      <c r="F858" s="88" t="n">
        <v>650</v>
      </c>
      <c r="G858" s="88" t="n">
        <v>650</v>
      </c>
      <c r="H858" s="44">
        <f>IF(OR(ISNUMBER(F858),ISNUMBER(G858)),N(F858)-N(G858),"")</f>
        <v/>
      </c>
      <c r="I858" s="137" t="n"/>
      <c r="J858" s="117">
        <f>IF(OR(ISNUMBER(F858),ISNUMBER(G858)),IF(ISBLANK(G858),"⚠️ Chưa bóc tách định mức",IF(H858&gt;=0,"✅ OK - Cho phép đặt hàng","❌ CHẶN ĐẶT HÀNG - CẦN BẢO VỆ KL")),"")</f>
        <v/>
      </c>
      <c r="K858" s="138">
        <f>IF(OR(ISNUMBER(F858),ISNUMBER(G858)),IF(ISBLANK(G858),"Kỹ sư/Thầu phụ cần bóc tách KL bản vẽ",IF(H858&gt;=0,"Được đặt hàng tối đa "&amp;G858&amp;" "&amp;E858,"Vượt dự toán "&amp;ABS(H858)&amp;" "&amp;E858&amp;" (QS giải trình &amp; duyệt sửa BOQ)")),"")</f>
        <v/>
      </c>
    </row>
    <row r="859" ht="15.6" customHeight="1" s="75">
      <c r="A859" s="58" t="inlineStr">
        <is>
          <t>DHKK-D.I3.1.2</t>
        </is>
      </c>
      <c r="B859" s="24" t="n"/>
      <c r="C859" s="99" t="inlineStr">
        <is>
          <t>Miệng louver EAL 400x150 + ISC</t>
        </is>
      </c>
      <c r="D859" s="61" t="inlineStr">
        <is>
          <t>Cái</t>
        </is>
      </c>
      <c r="E859" s="61" t="inlineStr">
        <is>
          <t>Cái</t>
        </is>
      </c>
      <c r="F859" s="88" t="n">
        <v>650</v>
      </c>
      <c r="G859" s="88" t="n">
        <v>650</v>
      </c>
      <c r="H859" s="44">
        <f>IF(OR(ISNUMBER(F859),ISNUMBER(G859)),N(F859)-N(G859),"")</f>
        <v/>
      </c>
      <c r="I859" s="137" t="n"/>
      <c r="J859" s="117">
        <f>IF(OR(ISNUMBER(F859),ISNUMBER(G859)),IF(ISBLANK(G859),"⚠️ Chưa bóc tách định mức",IF(H859&gt;=0,"✅ OK - Cho phép đặt hàng","❌ CHẶN ĐẶT HÀNG - CẦN BẢO VỆ KL")),"")</f>
        <v/>
      </c>
      <c r="K859" s="138">
        <f>IF(OR(ISNUMBER(F859),ISNUMBER(G859)),IF(ISBLANK(G859),"Kỹ sư/Thầu phụ cần bóc tách KL bản vẽ",IF(H859&gt;=0,"Được đặt hàng tối đa "&amp;G859&amp;" "&amp;E859,"Vượt dự toán "&amp;ABS(H859)&amp;" "&amp;E859&amp;" (QS giải trình &amp; duyệt sửa BOQ)")),"")</f>
        <v/>
      </c>
    </row>
    <row r="860" ht="15.6" customHeight="1" s="75">
      <c r="A860" s="58" t="inlineStr">
        <is>
          <t>DHKK-D.I3.1.3</t>
        </is>
      </c>
      <c r="B860" s="24" t="n"/>
      <c r="C860" s="99" t="inlineStr">
        <is>
          <t>EAL 300x150 + I.S</t>
        </is>
      </c>
      <c r="D860" s="61" t="inlineStr">
        <is>
          <t>Cái</t>
        </is>
      </c>
      <c r="E860" s="61" t="inlineStr">
        <is>
          <t>Cái</t>
        </is>
      </c>
      <c r="F860" s="88" t="n">
        <v>338</v>
      </c>
      <c r="G860" s="88" t="n">
        <v>338</v>
      </c>
      <c r="H860" s="44">
        <f>IF(OR(ISNUMBER(F860),ISNUMBER(G860)),N(F860)-N(G860),"")</f>
        <v/>
      </c>
      <c r="I860" s="137" t="n"/>
      <c r="J860" s="117">
        <f>IF(OR(ISNUMBER(F860),ISNUMBER(G860)),IF(ISBLANK(G860),"⚠️ Chưa bóc tách định mức",IF(H860&gt;=0,"✅ OK - Cho phép đặt hàng","❌ CHẶN ĐẶT HÀNG - CẦN BẢO VỆ KL")),"")</f>
        <v/>
      </c>
      <c r="K860" s="138">
        <f>IF(OR(ISNUMBER(F860),ISNUMBER(G860)),IF(ISBLANK(G860),"Kỹ sư/Thầu phụ cần bóc tách KL bản vẽ",IF(H860&gt;=0,"Được đặt hàng tối đa "&amp;G860&amp;" "&amp;E860,"Vượt dự toán "&amp;ABS(H860)&amp;" "&amp;E860&amp;" (QS giải trình &amp; duyệt sửa BOQ)")),"")</f>
        <v/>
      </c>
    </row>
    <row r="861" ht="15.6" customHeight="1" s="75">
      <c r="A861" s="58" t="inlineStr">
        <is>
          <t>DHKK-D.I3.1.4</t>
        </is>
      </c>
      <c r="B861" s="24" t="n"/>
      <c r="C861" s="99" t="inlineStr">
        <is>
          <t>Miệng louver EAL 300x150 + ISC</t>
        </is>
      </c>
      <c r="D861" s="61" t="inlineStr">
        <is>
          <t>Cái</t>
        </is>
      </c>
      <c r="E861" s="61" t="inlineStr">
        <is>
          <t>Cái</t>
        </is>
      </c>
      <c r="F861" s="88" t="n">
        <v>325</v>
      </c>
      <c r="G861" s="88" t="n">
        <v>338</v>
      </c>
      <c r="H861" s="44">
        <f>IF(OR(ISNUMBER(F861),ISNUMBER(G861)),N(F861)-N(G861),"")</f>
        <v/>
      </c>
      <c r="I861" s="137" t="n"/>
      <c r="J861" s="117">
        <f>IF(OR(ISNUMBER(F861),ISNUMBER(G861)),IF(ISBLANK(G861),"⚠️ Chưa bóc tách định mức",IF(H861&gt;=0,"✅ OK - Cho phép đặt hàng","❌ CHẶN ĐẶT HÀNG - CẦN BẢO VỆ KL")),"")</f>
        <v/>
      </c>
      <c r="K861" s="138">
        <f>IF(OR(ISNUMBER(F861),ISNUMBER(G861)),IF(ISBLANK(G861),"Kỹ sư/Thầu phụ cần bóc tách KL bản vẽ",IF(H861&gt;=0,"Được đặt hàng tối đa "&amp;G861&amp;" "&amp;E861,"Vượt dự toán "&amp;ABS(H861)&amp;" "&amp;E861&amp;" (QS giải trình &amp; duyệt sửa BOQ)")),"")</f>
        <v/>
      </c>
    </row>
    <row r="862" ht="14.1" customHeight="1" s="75">
      <c r="A862" s="80" t="n"/>
      <c r="B862" s="28" t="n"/>
      <c r="C862" s="96" t="n"/>
      <c r="D862" s="69" t="n"/>
      <c r="E862" s="67" t="n"/>
      <c r="F862" s="86" t="n"/>
      <c r="G862" s="86" t="n"/>
      <c r="H862" s="70" t="n"/>
      <c r="I862" s="152" t="n"/>
    </row>
    <row r="863" ht="15.6" customHeight="1" s="75">
      <c r="A863" s="58" t="inlineStr">
        <is>
          <t>DHKK-D.I3.1.5</t>
        </is>
      </c>
      <c r="B863" s="28" t="n"/>
      <c r="C863" s="96" t="inlineStr">
        <is>
          <t>Box D117/150x80/D117 L600</t>
        </is>
      </c>
      <c r="D863" s="69" t="inlineStr">
        <is>
          <t>Cái</t>
        </is>
      </c>
      <c r="E863" s="67" t="inlineStr">
        <is>
          <t>Cái</t>
        </is>
      </c>
      <c r="F863" s="86" t="n">
        <v>18</v>
      </c>
      <c r="G863" s="86" t="n">
        <v>18</v>
      </c>
      <c r="H863" s="70">
        <f>IF(OR(ISNUMBER(F863),ISNUMBER(G863)),N(F863)-N(G863),"")</f>
        <v/>
      </c>
      <c r="I863" s="152" t="n"/>
      <c r="J863" s="117">
        <f>IF(OR(ISNUMBER(F863),ISNUMBER(G863)),IF(ISBLANK(G863),"⚠️ Chưa bóc tách định mức",IF(H863&gt;=0,"✅ OK - Cho phép đặt hàng","❌ CHẶN ĐẶT HÀNG - CẦN BẢO VỆ KL")),"")</f>
        <v/>
      </c>
      <c r="K863" s="138">
        <f>IF(OR(ISNUMBER(F863),ISNUMBER(G863)),IF(ISBLANK(G863),"Kỹ sư/Thầu phụ cần bóc tách KL bản vẽ",IF(H863&gt;=0,"Được đặt hàng tối đa "&amp;G863&amp;" "&amp;E863,"Vượt dự toán "&amp;ABS(H863)&amp;" "&amp;E863&amp;" (QS giải trình &amp; duyệt sửa BOQ)")),"")</f>
        <v/>
      </c>
    </row>
    <row r="864" ht="15.6" customHeight="1" s="75">
      <c r="A864" s="58" t="inlineStr">
        <is>
          <t>DHKK-D.I3.1.6</t>
        </is>
      </c>
      <c r="B864" s="28" t="n"/>
      <c r="C864" s="96" t="inlineStr">
        <is>
          <t>Box 143/200x100/143 L600</t>
        </is>
      </c>
      <c r="D864" s="69" t="inlineStr">
        <is>
          <t>Cái</t>
        </is>
      </c>
      <c r="E864" s="67" t="inlineStr">
        <is>
          <t>Cái</t>
        </is>
      </c>
      <c r="F864" s="86" t="n">
        <v>3</v>
      </c>
      <c r="G864" s="86" t="n">
        <v>3</v>
      </c>
      <c r="H864" s="70">
        <f>IF(OR(ISNUMBER(F864),ISNUMBER(G864)),N(F864)-N(G864),"")</f>
        <v/>
      </c>
      <c r="I864" s="152" t="n"/>
      <c r="J864" s="117">
        <f>IF(OR(ISNUMBER(F864),ISNUMBER(G864)),IF(ISBLANK(G864),"⚠️ Chưa bóc tách định mức",IF(H864&gt;=0,"✅ OK - Cho phép đặt hàng","❌ CHẶN ĐẶT HÀNG - CẦN BẢO VỆ KL")),"")</f>
        <v/>
      </c>
      <c r="K864" s="138">
        <f>IF(OR(ISNUMBER(F864),ISNUMBER(G864)),IF(ISBLANK(G864),"Kỹ sư/Thầu phụ cần bóc tách KL bản vẽ",IF(H864&gt;=0,"Được đặt hàng tối đa "&amp;G864&amp;" "&amp;E864,"Vượt dự toán "&amp;ABS(H864)&amp;" "&amp;E864&amp;" (QS giải trình &amp; duyệt sửa BOQ)")),"")</f>
        <v/>
      </c>
    </row>
    <row r="865" ht="15.6" customHeight="1" s="75">
      <c r="A865" s="58" t="inlineStr">
        <is>
          <t>DHKK-D.I3.1.7</t>
        </is>
      </c>
      <c r="B865" s="28" t="n"/>
      <c r="C865" s="96" t="inlineStr">
        <is>
          <t>Box D117/150x100/D117 L600</t>
        </is>
      </c>
      <c r="D865" s="69" t="inlineStr">
        <is>
          <t>Cái</t>
        </is>
      </c>
      <c r="E865" s="67" t="inlineStr">
        <is>
          <t>Cái</t>
        </is>
      </c>
      <c r="F865" s="86" t="n">
        <v>2</v>
      </c>
      <c r="G865" s="86" t="n">
        <v>2</v>
      </c>
      <c r="H865" s="70">
        <f>IF(OR(ISNUMBER(F865),ISNUMBER(G865)),N(F865)-N(G865),"")</f>
        <v/>
      </c>
      <c r="I865" s="152" t="n"/>
      <c r="J865" s="117">
        <f>IF(OR(ISNUMBER(F865),ISNUMBER(G865)),IF(ISBLANK(G865),"⚠️ Chưa bóc tách định mức",IF(H865&gt;=0,"✅ OK - Cho phép đặt hàng","❌ CHẶN ĐẶT HÀNG - CẦN BẢO VỆ KL")),"")</f>
        <v/>
      </c>
      <c r="K865" s="138">
        <f>IF(OR(ISNUMBER(F865),ISNUMBER(G865)),IF(ISBLANK(G865),"Kỹ sư/Thầu phụ cần bóc tách KL bản vẽ",IF(H865&gt;=0,"Được đặt hàng tối đa "&amp;G865&amp;" "&amp;E865,"Vượt dự toán "&amp;ABS(H865)&amp;" "&amp;E865&amp;" (QS giải trình &amp; duyệt sửa BOQ)")),"")</f>
        <v/>
      </c>
    </row>
    <row r="866" ht="15.6" customHeight="1" s="75">
      <c r="A866" s="58" t="inlineStr">
        <is>
          <t>DHKK-D.I3.1.8</t>
        </is>
      </c>
      <c r="B866" s="28" t="n"/>
      <c r="C866" s="96" t="inlineStr">
        <is>
          <t>Box 410x160/410x120 L250</t>
        </is>
      </c>
      <c r="D866" s="69" t="inlineStr">
        <is>
          <t>Cái</t>
        </is>
      </c>
      <c r="E866" s="67" t="inlineStr">
        <is>
          <t>Cái</t>
        </is>
      </c>
      <c r="F866" s="86" t="n">
        <v>30</v>
      </c>
      <c r="G866" s="86" t="n">
        <v>30</v>
      </c>
      <c r="H866" s="70">
        <f>IF(OR(ISNUMBER(F866),ISNUMBER(G866)),N(F866)-N(G866),"")</f>
        <v/>
      </c>
      <c r="I866" s="152" t="n"/>
      <c r="J866" s="117">
        <f>IF(OR(ISNUMBER(F866),ISNUMBER(G866)),IF(ISBLANK(G866),"⚠️ Chưa bóc tách định mức",IF(H866&gt;=0,"✅ OK - Cho phép đặt hàng","❌ CHẶN ĐẶT HÀNG - CẦN BẢO VỆ KL")),"")</f>
        <v/>
      </c>
      <c r="K866" s="138">
        <f>IF(OR(ISNUMBER(F866),ISNUMBER(G866)),IF(ISBLANK(G866),"Kỹ sư/Thầu phụ cần bóc tách KL bản vẽ",IF(H866&gt;=0,"Được đặt hàng tối đa "&amp;G866&amp;" "&amp;E866,"Vượt dự toán "&amp;ABS(H866)&amp;" "&amp;E866&amp;" (QS giải trình &amp; duyệt sửa BOQ)")),"")</f>
        <v/>
      </c>
    </row>
    <row r="867" ht="14.1" customHeight="1" s="75">
      <c r="A867" s="80" t="n"/>
      <c r="B867" s="28" t="inlineStr">
        <is>
          <t>F</t>
        </is>
      </c>
      <c r="C867" s="96" t="inlineStr">
        <is>
          <t>SLEEVE XUYÊN VÁCH, XUYÊN SÀN</t>
        </is>
      </c>
      <c r="D867" s="69" t="n"/>
      <c r="E867" s="69" t="n"/>
      <c r="F867" s="86" t="n"/>
      <c r="G867" s="86" t="n"/>
      <c r="H867" s="70" t="n"/>
      <c r="I867" s="152" t="inlineStr">
        <is>
          <t>Thuộc phần phụ kiện PVC</t>
        </is>
      </c>
    </row>
    <row r="868" ht="14.1" customHeight="1" s="75">
      <c r="A868" s="80" t="n"/>
      <c r="B868" s="33" t="inlineStr">
        <is>
          <t>I</t>
        </is>
      </c>
      <c r="C868" s="97" t="inlineStr">
        <is>
          <t>PHẦN KHỐI ĐẾ</t>
        </is>
      </c>
      <c r="D868" s="34" t="n"/>
      <c r="E868" s="34" t="n"/>
      <c r="F868" s="87" t="n"/>
      <c r="G868" s="87" t="n"/>
      <c r="H868" s="35" t="n"/>
      <c r="I868" s="144" t="n"/>
    </row>
    <row r="869" ht="14.1" customHeight="1" s="75">
      <c r="A869" s="80" t="n"/>
      <c r="B869" s="139" t="n"/>
      <c r="C869" s="98" t="inlineStr">
        <is>
          <t>Sleeve ống nước ngưng xuyên sàn</t>
        </is>
      </c>
      <c r="D869" s="24" t="n"/>
      <c r="E869" s="24" t="n"/>
      <c r="F869" s="85" t="n"/>
      <c r="G869" s="85" t="n"/>
      <c r="H869" s="44" t="n"/>
      <c r="I869" s="137" t="n"/>
    </row>
    <row r="870" ht="15.6" customHeight="1" s="75">
      <c r="A870" s="58" t="inlineStr">
        <is>
          <t>DHKK-F.I.1</t>
        </is>
      </c>
      <c r="B870" s="24" t="n"/>
      <c r="C870" s="99" t="inlineStr">
        <is>
          <t>D60 ( ống D21)</t>
        </is>
      </c>
      <c r="D870" s="61" t="inlineStr">
        <is>
          <t>vị trí</t>
        </is>
      </c>
      <c r="E870" s="61" t="inlineStr">
        <is>
          <t>vị trí</t>
        </is>
      </c>
      <c r="F870" s="88" t="n">
        <v>106</v>
      </c>
      <c r="G870" s="85" t="n"/>
      <c r="H870" s="42">
        <f>IF(OR(ISNUMBER(F870),ISNUMBER(G870)),N(F870)-N(G870),"")</f>
        <v/>
      </c>
      <c r="I870" s="137" t="n"/>
      <c r="J870" s="117">
        <f>IF(OR(ISNUMBER(F870),ISNUMBER(G870)),IF(ISBLANK(G870),"⚠️ Chưa bóc tách định mức",IF(H870&gt;=0,"✅ OK - Cho phép đặt hàng","❌ CHẶN ĐẶT HÀNG - CẦN BẢO VỆ KL")),"")</f>
        <v/>
      </c>
      <c r="K870" s="138">
        <f>IF(OR(ISNUMBER(F870),ISNUMBER(G870)),IF(ISBLANK(G870),"Kỹ sư/Thầu phụ cần bóc tách KL bản vẽ",IF(H870&gt;=0,"Được đặt hàng tối đa "&amp;G870&amp;" "&amp;E870,"Vượt dự toán "&amp;ABS(H870)&amp;" "&amp;E870&amp;" (QS giải trình &amp; duyệt sửa BOQ)")),"")</f>
        <v/>
      </c>
    </row>
    <row r="871" ht="15.6" customHeight="1" s="75">
      <c r="A871" s="58" t="inlineStr">
        <is>
          <t>DHKK-F.I.2</t>
        </is>
      </c>
      <c r="B871" s="139" t="n"/>
      <c r="C871" s="99" t="inlineStr">
        <is>
          <t>D168 ( ống D114)</t>
        </is>
      </c>
      <c r="D871" s="61" t="inlineStr">
        <is>
          <t>vị trí</t>
        </is>
      </c>
      <c r="E871" s="61" t="inlineStr">
        <is>
          <t>vị trí</t>
        </is>
      </c>
      <c r="F871" s="88" t="n">
        <v>8</v>
      </c>
      <c r="G871" s="85" t="n"/>
      <c r="H871" s="42">
        <f>IF(OR(ISNUMBER(F871),ISNUMBER(G871)),N(F871)-N(G871),"")</f>
        <v/>
      </c>
      <c r="I871" s="137" t="n"/>
      <c r="J871" s="117">
        <f>IF(OR(ISNUMBER(F871),ISNUMBER(G871)),IF(ISBLANK(G871),"⚠️ Chưa bóc tách định mức",IF(H871&gt;=0,"✅ OK - Cho phép đặt hàng","❌ CHẶN ĐẶT HÀNG - CẦN BẢO VỆ KL")),"")</f>
        <v/>
      </c>
      <c r="K871" s="138">
        <f>IF(OR(ISNUMBER(F871),ISNUMBER(G871)),IF(ISBLANK(G871),"Kỹ sư/Thầu phụ cần bóc tách KL bản vẽ",IF(H871&gt;=0,"Được đặt hàng tối đa "&amp;G871&amp;" "&amp;E871,"Vượt dự toán "&amp;ABS(H871)&amp;" "&amp;E871&amp;" (QS giải trình &amp; duyệt sửa BOQ)")),"")</f>
        <v/>
      </c>
    </row>
    <row r="872" ht="13.8" customHeight="1" s="75">
      <c r="A872" s="80" t="n"/>
      <c r="B872" s="139" t="n"/>
      <c r="C872" s="101" t="n"/>
      <c r="D872" s="24" t="n"/>
      <c r="E872" s="24" t="n"/>
      <c r="F872" s="85" t="n"/>
      <c r="G872" s="85" t="n"/>
      <c r="H872" s="44" t="n"/>
      <c r="I872" s="137" t="n"/>
    </row>
    <row r="873" ht="14.1" customHeight="1" s="75">
      <c r="A873" s="80" t="n"/>
      <c r="B873" s="33" t="inlineStr">
        <is>
          <t>II</t>
        </is>
      </c>
      <c r="C873" s="97" t="inlineStr">
        <is>
          <t>PHẦN THÁP</t>
        </is>
      </c>
      <c r="D873" s="34" t="n"/>
      <c r="E873" s="34" t="n"/>
      <c r="F873" s="87" t="n"/>
      <c r="G873" s="87" t="n"/>
      <c r="H873" s="35" t="n"/>
      <c r="I873" s="144" t="n"/>
    </row>
    <row r="874" ht="14.1" customHeight="1" s="75">
      <c r="A874" s="80" t="n"/>
      <c r="B874" s="139" t="n"/>
      <c r="C874" s="98" t="inlineStr">
        <is>
          <t>Sleeve ống nước ngưng xuyên sàn</t>
        </is>
      </c>
      <c r="D874" s="24" t="n"/>
      <c r="E874" s="24" t="n"/>
      <c r="F874" s="85" t="n"/>
      <c r="G874" s="85" t="n"/>
      <c r="H874" s="44" t="n"/>
      <c r="I874" s="137" t="n"/>
    </row>
    <row r="875" ht="15.6" customHeight="1" s="75">
      <c r="A875" s="58" t="inlineStr">
        <is>
          <t>DHKK-F.II.1</t>
        </is>
      </c>
      <c r="B875" s="139" t="n"/>
      <c r="C875" s="99" t="inlineStr">
        <is>
          <t>D60 ( ống D21)</t>
        </is>
      </c>
      <c r="D875" s="61" t="inlineStr">
        <is>
          <t>vị trí</t>
        </is>
      </c>
      <c r="E875" s="61" t="inlineStr">
        <is>
          <t>vị trí</t>
        </is>
      </c>
      <c r="F875" s="88" t="n">
        <v>2678</v>
      </c>
      <c r="G875" s="85" t="n"/>
      <c r="H875" s="42">
        <f>IF(OR(ISNUMBER(F875),ISNUMBER(G875)),N(F875)-N(G875),"")</f>
        <v/>
      </c>
      <c r="I875" s="137" t="n"/>
      <c r="J875" s="117">
        <f>IF(OR(ISNUMBER(F875),ISNUMBER(G875)),IF(ISBLANK(G875),"⚠️ Chưa bóc tách định mức",IF(H875&gt;=0,"✅ OK - Cho phép đặt hàng","❌ CHẶN ĐẶT HÀNG - CẦN BẢO VỆ KL")),"")</f>
        <v/>
      </c>
      <c r="K875" s="138">
        <f>IF(OR(ISNUMBER(F875),ISNUMBER(G875)),IF(ISBLANK(G875),"Kỹ sư/Thầu phụ cần bóc tách KL bản vẽ",IF(H875&gt;=0,"Được đặt hàng tối đa "&amp;G875&amp;" "&amp;E875,"Vượt dự toán "&amp;ABS(H875)&amp;" "&amp;E875&amp;" (QS giải trình &amp; duyệt sửa BOQ)")),"")</f>
        <v/>
      </c>
    </row>
    <row r="876" ht="15.6" customHeight="1" s="75">
      <c r="A876" s="58" t="inlineStr">
        <is>
          <t>DHKK-F.II.2</t>
        </is>
      </c>
      <c r="B876" s="139" t="n"/>
      <c r="C876" s="99" t="inlineStr">
        <is>
          <t>D90 ( ống D42)</t>
        </is>
      </c>
      <c r="D876" s="61" t="inlineStr">
        <is>
          <t>vị trí</t>
        </is>
      </c>
      <c r="E876" s="61" t="inlineStr">
        <is>
          <t>vị trí</t>
        </is>
      </c>
      <c r="F876" s="88" t="n">
        <v>1372</v>
      </c>
      <c r="G876" s="85" t="n"/>
      <c r="H876" s="42">
        <f>IF(OR(ISNUMBER(F876),ISNUMBER(G876)),N(F876)-N(G876),"")</f>
        <v/>
      </c>
      <c r="I876" s="137" t="n"/>
      <c r="J876" s="117">
        <f>IF(OR(ISNUMBER(F876),ISNUMBER(G876)),IF(ISBLANK(G876),"⚠️ Chưa bóc tách định mức",IF(H876&gt;=0,"✅ OK - Cho phép đặt hàng","❌ CHẶN ĐẶT HÀNG - CẦN BẢO VỆ KL")),"")</f>
        <v/>
      </c>
      <c r="K876" s="138">
        <f>IF(OR(ISNUMBER(F876),ISNUMBER(G876)),IF(ISBLANK(G876),"Kỹ sư/Thầu phụ cần bóc tách KL bản vẽ",IF(H876&gt;=0,"Được đặt hàng tối đa "&amp;G876&amp;" "&amp;E876,"Vượt dự toán "&amp;ABS(H876)&amp;" "&amp;E876&amp;" (QS giải trình &amp; duyệt sửa BOQ)")),"")</f>
        <v/>
      </c>
    </row>
    <row r="877" ht="13.8" customHeight="1" s="75">
      <c r="A877" s="80" t="n"/>
      <c r="B877" s="139" t="n"/>
      <c r="C877" s="101" t="n"/>
      <c r="D877" s="24" t="n"/>
      <c r="E877" s="24" t="n"/>
      <c r="F877" s="85" t="n"/>
      <c r="G877" s="85" t="n"/>
      <c r="H877" s="44" t="n"/>
      <c r="I877" s="137" t="n"/>
    </row>
    <row r="878" ht="14.1" customHeight="1" s="75">
      <c r="A878" s="80" t="n"/>
      <c r="B878" s="139" t="n"/>
      <c r="C878" s="98" t="inlineStr">
        <is>
          <t>Sleeve ống đồng</t>
        </is>
      </c>
      <c r="D878" s="24" t="n"/>
      <c r="E878" s="24" t="n"/>
      <c r="F878" s="85" t="n"/>
      <c r="G878" s="85" t="n"/>
      <c r="H878" s="44" t="n"/>
      <c r="I878" s="137" t="n"/>
    </row>
    <row r="879" ht="15.6" customHeight="1" s="75">
      <c r="A879" s="58" t="inlineStr">
        <is>
          <t>DHKK-F.II.2.1</t>
        </is>
      </c>
      <c r="B879" s="139" t="n"/>
      <c r="C879" s="99" t="inlineStr">
        <is>
          <t>Sleeves D90 xuyên vách ra logia</t>
        </is>
      </c>
      <c r="D879" s="61" t="inlineStr">
        <is>
          <t>vị trí</t>
        </is>
      </c>
      <c r="E879" s="61" t="inlineStr">
        <is>
          <t>vị trí</t>
        </is>
      </c>
      <c r="F879" s="88" t="n">
        <v>2361</v>
      </c>
      <c r="G879" s="85" t="n"/>
      <c r="H879" s="42">
        <f>IF(OR(ISNUMBER(F879),ISNUMBER(G879)),N(F879)-N(G879),"")</f>
        <v/>
      </c>
      <c r="I879" s="137" t="n"/>
      <c r="J879" s="117">
        <f>IF(OR(ISNUMBER(F879),ISNUMBER(G879)),IF(ISBLANK(G879),"⚠️ Chưa bóc tách định mức",IF(H879&gt;=0,"✅ OK - Cho phép đặt hàng","❌ CHẶN ĐẶT HÀNG - CẦN BẢO VỆ KL")),"")</f>
        <v/>
      </c>
      <c r="K879" s="138">
        <f>IF(OR(ISNUMBER(F879),ISNUMBER(G879)),IF(ISBLANK(G879),"Kỹ sư/Thầu phụ cần bóc tách KL bản vẽ",IF(H879&gt;=0,"Được đặt hàng tối đa "&amp;G879&amp;" "&amp;E879,"Vượt dự toán "&amp;ABS(H879)&amp;" "&amp;E879&amp;" (QS giải trình &amp; duyệt sửa BOQ)")),"")</f>
        <v/>
      </c>
    </row>
    <row r="880" ht="15.6" customHeight="1" s="75">
      <c r="A880" s="58" t="inlineStr">
        <is>
          <t>DHKK-F.II.2.2</t>
        </is>
      </c>
      <c r="B880" s="139" t="n"/>
      <c r="C880" s="99" t="inlineStr">
        <is>
          <t>Box gió logia 400x150</t>
        </is>
      </c>
      <c r="D880" s="61" t="inlineStr">
        <is>
          <t>vị trí</t>
        </is>
      </c>
      <c r="E880" s="61" t="inlineStr">
        <is>
          <t>vị trí</t>
        </is>
      </c>
      <c r="F880" s="88" t="n">
        <v>1086</v>
      </c>
      <c r="G880" s="85" t="n"/>
      <c r="H880" s="42">
        <f>IF(OR(ISNUMBER(F880),ISNUMBER(G880)),N(F880)-N(G880),"")</f>
        <v/>
      </c>
      <c r="I880" s="137" t="n"/>
      <c r="J880" s="117">
        <f>IF(OR(ISNUMBER(F880),ISNUMBER(G880)),IF(ISBLANK(G880),"⚠️ Chưa bóc tách định mức",IF(H880&gt;=0,"✅ OK - Cho phép đặt hàng","❌ CHẶN ĐẶT HÀNG - CẦN BẢO VỆ KL")),"")</f>
        <v/>
      </c>
      <c r="K880" s="138">
        <f>IF(OR(ISNUMBER(F880),ISNUMBER(G880)),IF(ISBLANK(G880),"Kỹ sư/Thầu phụ cần bóc tách KL bản vẽ",IF(H880&gt;=0,"Được đặt hàng tối đa "&amp;G880&amp;" "&amp;E880,"Vượt dự toán "&amp;ABS(H880)&amp;" "&amp;E880&amp;" (QS giải trình &amp; duyệt sửa BOQ)")),"")</f>
        <v/>
      </c>
    </row>
    <row r="881" ht="15.6" customHeight="1" s="75">
      <c r="A881" s="58" t="inlineStr">
        <is>
          <t>DHKK-F.II.2.3</t>
        </is>
      </c>
      <c r="B881" s="139" t="n"/>
      <c r="C881" s="99" t="inlineStr">
        <is>
          <t>Sleeves D168 xuyên dầm</t>
        </is>
      </c>
      <c r="D881" s="61" t="inlineStr">
        <is>
          <t>vị trí</t>
        </is>
      </c>
      <c r="E881" s="61" t="inlineStr">
        <is>
          <t>vị trí</t>
        </is>
      </c>
      <c r="F881" s="88" t="n">
        <v>1086</v>
      </c>
      <c r="G881" s="85" t="n"/>
      <c r="H881" s="42">
        <f>IF(OR(ISNUMBER(F881),ISNUMBER(G881)),N(F881)-N(G881),"")</f>
        <v/>
      </c>
      <c r="I881" s="137" t="n"/>
      <c r="J881" s="117">
        <f>IF(OR(ISNUMBER(F881),ISNUMBER(G881)),IF(ISBLANK(G881),"⚠️ Chưa bóc tách định mức",IF(H881&gt;=0,"✅ OK - Cho phép đặt hàng","❌ CHẶN ĐẶT HÀNG - CẦN BẢO VỆ KL")),"")</f>
        <v/>
      </c>
      <c r="K881" s="138">
        <f>IF(OR(ISNUMBER(F881),ISNUMBER(G881)),IF(ISBLANK(G881),"Kỹ sư/Thầu phụ cần bóc tách KL bản vẽ",IF(H881&gt;=0,"Được đặt hàng tối đa "&amp;G881&amp;" "&amp;E881,"Vượt dự toán "&amp;ABS(H881)&amp;" "&amp;E881&amp;" (QS giải trình &amp; duyệt sửa BOQ)")),"")</f>
        <v/>
      </c>
    </row>
    <row r="882" ht="13.8" customHeight="1" s="75">
      <c r="A882" s="80" t="n"/>
      <c r="B882" s="24" t="n"/>
      <c r="C882" s="101" t="n"/>
      <c r="D882" s="24" t="n"/>
      <c r="E882" s="24" t="n"/>
      <c r="F882" s="85" t="n"/>
      <c r="G882" s="85" t="n"/>
      <c r="H882" s="44" t="n"/>
      <c r="I882" s="137" t="n"/>
    </row>
    <row r="883" ht="14.1" customHeight="1" s="75">
      <c r="A883" s="80" t="n"/>
      <c r="B883" s="153" t="n"/>
      <c r="C883" s="109" t="inlineStr">
        <is>
          <t>TỔNG CỘNG (TRƯỚC VAT)</t>
        </is>
      </c>
      <c r="D883" s="72" t="n"/>
      <c r="E883" s="72" t="n"/>
      <c r="F883" s="93" t="n"/>
      <c r="G883" s="93" t="n"/>
      <c r="H883" s="73" t="n"/>
      <c r="I883" s="154" t="n"/>
    </row>
  </sheetData>
  <mergeCells count="2">
    <mergeCell ref="B1:C1"/>
    <mergeCell ref="B2:C2"/>
  </mergeCells>
  <conditionalFormatting sqref="A6 A12:A883">
    <cfRule type="expression" priority="1" dxfId="0">
      <formula>COUNTIF($A:A,$A1)&gt;1</formula>
    </cfRule>
  </conditionalFormatting>
  <conditionalFormatting sqref="A10:A11">
    <cfRule type="expression" priority="5" dxfId="0">
      <formula>COUNTIF($A:A,#REF!)&gt;1</formula>
    </cfRule>
  </conditionalFormatting>
  <conditionalFormatting sqref="A7:A9">
    <cfRule type="expression" priority="9" dxfId="0">
      <formula>COUNTIF($A:A,$A4)&gt;1</formula>
    </cfRule>
  </conditionalFormatting>
  <conditionalFormatting sqref="H7:H883">
    <cfRule type="cellIs" priority="4" operator="lessThan" dxfId="24" stopIfTrue="1">
      <formula>0</formula>
    </cfRule>
    <cfRule type="cellIs" priority="5" operator="greaterThanOrEqual" dxfId="25" stopIfTrue="1">
      <formula>0</formula>
    </cfRule>
  </conditionalFormatting>
  <conditionalFormatting sqref="J7:J883">
    <cfRule type="expression" priority="6" dxfId="24" stopIfTrue="1">
      <formula>ISNUMBER(SEARCH("CHẶN", J7))</formula>
    </cfRule>
    <cfRule type="expression" priority="7" dxfId="25" stopIfTrue="1">
      <formula>ISNUMBER(SEARCH("OK", J7))</formula>
    </cfRule>
    <cfRule type="expression" priority="8" dxfId="26" stopIfTrue="1">
      <formula>ISNUMBER(SEARCH("Chưa bóc tách", J7))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 Van Lien</dc:creator>
  <dcterms:created xsi:type="dcterms:W3CDTF">2026-08-21T09:06:38Z</dcterms:created>
  <dcterms:modified xsi:type="dcterms:W3CDTF">2026-08-21T09:24:55Z</dcterms:modified>
  <cp:lastModifiedBy>Do Van Lien</cp:lastModifiedBy>
</cp:coreProperties>
</file>